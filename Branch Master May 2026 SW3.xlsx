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Master" sheetId="2" state="visible" r:id="rId4"/>
  </sheets>
  <definedNames>
    <definedName function="false" hidden="true" localSheetId="1" name="_xlnm._FilterDatabase" vbProcedure="false">Master!$B$1:$BA$190</definedName>
    <definedName function="false" hidden="false" name="Slicer_Regional_Manager" vbProcedure="false">#N/A</definedName>
    <definedName function="false" hidden="false" name="Slicer_State" vbProcedure="false">#N/A</definedName>
    <definedName function="false" hidden="false" name="Slicer_Vertical" vbProcedure="false">#N/A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<sst xmlns="http://schemas.openxmlformats.org/spreadsheetml/2006/main" count="5161" uniqueCount="1440">
  <si>
    <t xml:space="preserve">Location Count</t>
  </si>
  <si>
    <t xml:space="preserve">Vertical</t>
  </si>
  <si>
    <t xml:space="preserve">Sub Region</t>
  </si>
  <si>
    <t xml:space="preserve">Carpet Area</t>
  </si>
  <si>
    <t xml:space="preserve">Total Seats</t>
  </si>
  <si>
    <t xml:space="preserve">Total On Roll</t>
  </si>
  <si>
    <t xml:space="preserve">Total Off roll</t>
  </si>
  <si>
    <t xml:space="preserve">Total Employes</t>
  </si>
  <si>
    <t xml:space="preserve"> Admin Assitant</t>
  </si>
  <si>
    <t xml:space="preserve">Sub- Region</t>
  </si>
  <si>
    <t xml:space="preserve">State</t>
  </si>
  <si>
    <t xml:space="preserve">Regional Manager</t>
  </si>
  <si>
    <t xml:space="preserve">Location #</t>
  </si>
  <si>
    <t xml:space="preserve">Admin Assitant</t>
  </si>
  <si>
    <t xml:space="preserve">North &amp; East</t>
  </si>
  <si>
    <t xml:space="preserve">North &amp; East 1</t>
  </si>
  <si>
    <t xml:space="preserve">South &amp; West</t>
  </si>
  <si>
    <t xml:space="preserve">South &amp; West 7</t>
  </si>
  <si>
    <t xml:space="preserve">Andaman &amp; Nicobar Islands</t>
  </si>
  <si>
    <t xml:space="preserve">Chethan K P</t>
  </si>
  <si>
    <t xml:space="preserve">North &amp; East 2</t>
  </si>
  <si>
    <t xml:space="preserve">South &amp; West 3</t>
  </si>
  <si>
    <t xml:space="preserve">Andhra Pradesh</t>
  </si>
  <si>
    <t xml:space="preserve">Ravi Nemalikanti</t>
  </si>
  <si>
    <t xml:space="preserve">North &amp; East 3</t>
  </si>
  <si>
    <t xml:space="preserve">North &amp; East 4</t>
  </si>
  <si>
    <t xml:space="preserve">Arunachal Pradesh</t>
  </si>
  <si>
    <t xml:space="preserve">Bubai Mondal</t>
  </si>
  <si>
    <t xml:space="preserve">Assam</t>
  </si>
  <si>
    <t xml:space="preserve">North &amp; East 5</t>
  </si>
  <si>
    <t xml:space="preserve">North &amp; East 7</t>
  </si>
  <si>
    <t xml:space="preserve">Bihar</t>
  </si>
  <si>
    <t xml:space="preserve">Gaurav Pandey</t>
  </si>
  <si>
    <t xml:space="preserve">North &amp; East 6</t>
  </si>
  <si>
    <t xml:space="preserve">Chandigarh</t>
  </si>
  <si>
    <t xml:space="preserve">Gurvinder Singh Lamba</t>
  </si>
  <si>
    <t xml:space="preserve">Chhattisgarh</t>
  </si>
  <si>
    <t xml:space="preserve">South &amp; West 1</t>
  </si>
  <si>
    <t xml:space="preserve">Delhi</t>
  </si>
  <si>
    <t xml:space="preserve">Sanchit Sisodia</t>
  </si>
  <si>
    <t xml:space="preserve">South &amp; West 2</t>
  </si>
  <si>
    <t xml:space="preserve">Goa</t>
  </si>
  <si>
    <t xml:space="preserve">M G Venukumar</t>
  </si>
  <si>
    <t xml:space="preserve">South &amp; West 4</t>
  </si>
  <si>
    <t xml:space="preserve">Gujarat</t>
  </si>
  <si>
    <t xml:space="preserve">Vishal Gandhi</t>
  </si>
  <si>
    <t xml:space="preserve">South &amp; West 6</t>
  </si>
  <si>
    <t xml:space="preserve">Ankit Patole</t>
  </si>
  <si>
    <t xml:space="preserve">South &amp; West 5</t>
  </si>
  <si>
    <t xml:space="preserve">Haryana</t>
  </si>
  <si>
    <t xml:space="preserve">Himachal Pradesh</t>
  </si>
  <si>
    <t xml:space="preserve">Grand Total</t>
  </si>
  <si>
    <t xml:space="preserve">Jammu &amp; Kashmir</t>
  </si>
  <si>
    <t xml:space="preserve">Jharkhand</t>
  </si>
  <si>
    <t xml:space="preserve">Karnataka</t>
  </si>
  <si>
    <t xml:space="preserve">Kerala</t>
  </si>
  <si>
    <t xml:space="preserve">KN Ramakrishnan</t>
  </si>
  <si>
    <t xml:space="preserve">Madhya Pradesh</t>
  </si>
  <si>
    <t xml:space="preserve">Pukhraj Jangid</t>
  </si>
  <si>
    <t xml:space="preserve">Maharashtra</t>
  </si>
  <si>
    <t xml:space="preserve">Maharashtra </t>
  </si>
  <si>
    <t xml:space="preserve">Meghalaya</t>
  </si>
  <si>
    <t xml:space="preserve">Mizoram</t>
  </si>
  <si>
    <t xml:space="preserve">Nagaland</t>
  </si>
  <si>
    <t xml:space="preserve">Odisha</t>
  </si>
  <si>
    <t xml:space="preserve">Ajaya Kumar Rath</t>
  </si>
  <si>
    <t xml:space="preserve">Puducherry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</si>
  <si>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</si>
  <si>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</si>
  <si>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</si>
  <si>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</si>
  <si>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</si>
  <si>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</si>
  <si>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</si>
  <si>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Vinayak Gupta</t>
  </si>
  <si>
    <t xml:space="preserve">Uttarakhand</t>
  </si>
  <si>
    <t xml:space="preserve">West Bengal</t>
  </si>
  <si>
    <t xml:space="preserve">Jayanta Sett</t>
  </si>
  <si>
    <t xml:space="preserve">Sr No</t>
  </si>
  <si>
    <t xml:space="preserve">Branch Name</t>
  </si>
  <si>
    <t xml:space="preserve">Region</t>
  </si>
  <si>
    <t xml:space="preserve">Location Code</t>
  </si>
  <si>
    <t xml:space="preserve">Location Category</t>
  </si>
  <si>
    <t xml:space="preserve">Branch Type</t>
  </si>
  <si>
    <t xml:space="preserve">Gold/Non Gold</t>
  </si>
  <si>
    <t xml:space="preserve">City</t>
  </si>
  <si>
    <t xml:space="preserve">District</t>
  </si>
  <si>
    <t xml:space="preserve">SAP Cost Centre</t>
  </si>
  <si>
    <t xml:space="preserve">BR ID</t>
  </si>
  <si>
    <t xml:space="preserve">BR Code2</t>
  </si>
  <si>
    <t xml:space="preserve">FloorDetails</t>
  </si>
  <si>
    <t xml:space="preserve">BranchAddress</t>
  </si>
  <si>
    <t xml:space="preserve">PinCode</t>
  </si>
  <si>
    <t xml:space="preserve">Latitude</t>
  </si>
  <si>
    <t xml:space="preserve">Longitude</t>
  </si>
  <si>
    <t xml:space="preserve">Owned / Leased</t>
  </si>
  <si>
    <t xml:space="preserve">Branch Open in City (Year)</t>
  </si>
  <si>
    <t xml:space="preserve">Branch GO Live Date (DD-MM-YYYY)</t>
  </si>
  <si>
    <t xml:space="preserve">Chargeable
Area</t>
  </si>
  <si>
    <t xml:space="preserve">Branch Admin Manager</t>
  </si>
  <si>
    <t xml:space="preserve">Contact Details</t>
  </si>
  <si>
    <t xml:space="preserve">Email</t>
  </si>
  <si>
    <t xml:space="preserve">Spoc Name</t>
  </si>
  <si>
    <t xml:space="preserve">SPOC Contact</t>
  </si>
  <si>
    <t xml:space="preserve">EmailID</t>
  </si>
  <si>
    <t xml:space="preserve">Role (Admin /LC)</t>
  </si>
  <si>
    <t xml:space="preserve">SeparatePantry/
PantryTable</t>
  </si>
  <si>
    <t xml:space="preserve">#SeatCreated for Employes</t>
  </si>
  <si>
    <t xml:space="preserve">#SeatCreated in Cashier Cabin</t>
  </si>
  <si>
    <t xml:space="preserve">#SeatCreated in Gold Counter</t>
  </si>
  <si>
    <t xml:space="preserve">Gents Washroom</t>
  </si>
  <si>
    <t xml:space="preserve">Ladies Washroom</t>
  </si>
  <si>
    <t xml:space="preserve">Common Washroom</t>
  </si>
  <si>
    <t xml:space="preserve">HK Boy</t>
  </si>
  <si>
    <t xml:space="preserve">Pantry Boy</t>
  </si>
  <si>
    <t xml:space="preserve">Secuirty Guard</t>
  </si>
  <si>
    <t xml:space="preserve">MST</t>
  </si>
  <si>
    <t xml:space="preserve">Ac/Cooler/NonAc</t>
  </si>
  <si>
    <t xml:space="preserve">Remark</t>
  </si>
  <si>
    <t xml:space="preserve">Barki Suriya</t>
  </si>
  <si>
    <t xml:space="preserve">Customer Walk-in</t>
  </si>
  <si>
    <t xml:space="preserve">Hub</t>
  </si>
  <si>
    <t xml:space="preserve">Non Gold</t>
  </si>
  <si>
    <t xml:space="preserve">Giridih</t>
  </si>
  <si>
    <t xml:space="preserve">Rural</t>
  </si>
  <si>
    <t xml:space="preserve">JH81K00017</t>
  </si>
  <si>
    <t xml:space="preserve">81K</t>
  </si>
  <si>
    <t xml:space="preserve">1st Floor</t>
  </si>
  <si>
    <t xml:space="preserve">Bajaj Finance Ltd. 1st Floor, Near Vivekananda Square &amp; Ashok Pharma, Barki Saraiya- 825320  Dist-Giridih (Jharkhand)</t>
  </si>
  <si>
    <t xml:space="preserve">Leased</t>
  </si>
  <si>
    <t xml:space="preserve">Sumit Singh</t>
  </si>
  <si>
    <t xml:space="preserve">Mob-7070899935</t>
  </si>
  <si>
    <t xml:space="preserve">sumit.singh30@bajajfinserv.in</t>
  </si>
  <si>
    <t xml:space="preserve">Kishan Singh</t>
  </si>
  <si>
    <t xml:space="preserve">M- 7484982846</t>
  </si>
  <si>
    <t xml:space="preserve">kishan.singh11@bajajfinserv.in</t>
  </si>
  <si>
    <t xml:space="preserve">Local Coordinator</t>
  </si>
  <si>
    <t xml:space="preserve">Pantry Table</t>
  </si>
  <si>
    <t xml:space="preserve">Cooler</t>
  </si>
  <si>
    <t xml:space="preserve">NA</t>
  </si>
  <si>
    <t xml:space="preserve">Bishrampur</t>
  </si>
  <si>
    <t xml:space="preserve">Mini Branch</t>
  </si>
  <si>
    <t xml:space="preserve">Palamu</t>
  </si>
  <si>
    <t xml:space="preserve">Garhwa</t>
  </si>
  <si>
    <t xml:space="preserve">JHID800001</t>
  </si>
  <si>
    <t xml:space="preserve">ID8</t>
  </si>
  <si>
    <t xml:space="preserve">Ground Floor</t>
  </si>
  <si>
    <t xml:space="preserve">Bajaj Finance Ltd,Mouza No-31, Khata No-33, Plot No-284, Ground Floor Near SBI Bank, sordih thana raod, Bishrampur, Garhwa, Dist-Palamu, Jharkhand – 822132,Jharkhand -828114</t>
  </si>
  <si>
    <t xml:space="preserve">Ritesh Upadhyay</t>
  </si>
  <si>
    <t xml:space="preserve">M-8210660845</t>
  </si>
  <si>
    <t xml:space="preserve">ritesh.upadhyay1@bajajfinserv.in </t>
  </si>
  <si>
    <t xml:space="preserve">Bokaro</t>
  </si>
  <si>
    <t xml:space="preserve">Ext Geo</t>
  </si>
  <si>
    <t xml:space="preserve">Urban</t>
  </si>
  <si>
    <t xml:space="preserve">JH4H100048</t>
  </si>
  <si>
    <t xml:space="preserve">4H1</t>
  </si>
  <si>
    <t xml:space="preserve">Bajaj Finance Ltd, Office No. 4, 1st  Floor, North Side N – 1, City Centre, Sector – 4,  Bokaro Steel City, Jharkhand, Pin code – 827004</t>
  </si>
  <si>
    <t xml:space="preserve">Saurabh Swaraj</t>
  </si>
  <si>
    <t xml:space="preserve">Mob-7903966748</t>
  </si>
  <si>
    <t xml:space="preserve">saurabh.swaraj@bajajfinserv.in</t>
  </si>
  <si>
    <t xml:space="preserve">AC</t>
  </si>
  <si>
    <t xml:space="preserve">Bokaro Additional</t>
  </si>
  <si>
    <t xml:space="preserve">Back Office (No Cashier)</t>
  </si>
  <si>
    <t xml:space="preserve">Back Office </t>
  </si>
  <si>
    <t xml:space="preserve">4H1B1</t>
  </si>
  <si>
    <t xml:space="preserve">2nd Floor</t>
  </si>
  <si>
    <t xml:space="preserve">Bajaj Finance Ltd, Office No. 4, 2nd  Floor, North Side N – 1, City Centre, Sector – 4,  Bokaro Steel City, Jharkhand, Pin code – 827004</t>
  </si>
  <si>
    <t xml:space="preserve">Bundu</t>
  </si>
  <si>
    <t xml:space="preserve">Ranchi</t>
  </si>
  <si>
    <t xml:space="preserve">JH04Q00015</t>
  </si>
  <si>
    <t xml:space="preserve">04Q</t>
  </si>
  <si>
    <t xml:space="preserve">Bajaj Finance Ltd. 1st Floor Raghuwanshi Height , NH-33 Below bank of india &amp;Axis Bank , Dist. Ranchi Bundu-835204</t>
  </si>
  <si>
    <t xml:space="preserve">Sachin Kumar</t>
  </si>
  <si>
    <t xml:space="preserve">Mob-6201058807</t>
  </si>
  <si>
    <t xml:space="preserve">sachin.kumar19@bajajfinserv.in</t>
  </si>
  <si>
    <t xml:space="preserve">Chaibasa</t>
  </si>
  <si>
    <t xml:space="preserve">Paschimi Singhbhum</t>
  </si>
  <si>
    <t xml:space="preserve">West Singhbhum</t>
  </si>
  <si>
    <t xml:space="preserve">JHT0300028</t>
  </si>
  <si>
    <t xml:space="preserve">T03</t>
  </si>
  <si>
    <t xml:space="preserve">Bajaj Finance Ltd, 1st floor, ld house, opposite hanuman mandir, amlatola, ps sadar thana, chaibasa, jharkhand 833201</t>
  </si>
  <si>
    <t xml:space="preserve">Nagesh Harpal</t>
  </si>
  <si>
    <t xml:space="preserve">Mob-7992326782</t>
  </si>
  <si>
    <t xml:space="preserve">nagesh.harpal@bajajfinserv.in</t>
  </si>
  <si>
    <t xml:space="preserve">Chakradharpur</t>
  </si>
  <si>
    <t xml:space="preserve">JHU1400019</t>
  </si>
  <si>
    <t xml:space="preserve">U14</t>
  </si>
  <si>
    <t xml:space="preserve">Bajaj Finance Ltd, 1st floor, beside hdfc bank, main road chakradharpur (jharkhand)  -  833102</t>
  </si>
  <si>
    <t xml:space="preserve">Ravi Mahato</t>
  </si>
  <si>
    <t xml:space="preserve">Mob-8409825042</t>
  </si>
  <si>
    <t xml:space="preserve">ravi.mahato@bajajfinserv.in</t>
  </si>
  <si>
    <t xml:space="preserve">Chandil</t>
  </si>
  <si>
    <t xml:space="preserve">Seraikela Kharsawan</t>
  </si>
  <si>
    <t xml:space="preserve">JH23Y00009</t>
  </si>
  <si>
    <t xml:space="preserve">23Y</t>
  </si>
  <si>
    <t xml:space="preserve">Bajaj Finance Ltd, Plot No – 212, Khata No -09, Ground Floor Main Market Station Road, Burudungri, chandil, Dist – Saraikela Kharswan ,Jharkhand -832401</t>
  </si>
  <si>
    <t xml:space="preserve">Shubham Yadav</t>
  </si>
  <si>
    <t xml:space="preserve">Mob-8092309322</t>
  </si>
  <si>
    <t xml:space="preserve">shubhamkumar.yadav@bajajfinserv.in</t>
  </si>
  <si>
    <t xml:space="preserve">Daltonganj</t>
  </si>
  <si>
    <t xml:space="preserve">JH28J00021</t>
  </si>
  <si>
    <t xml:space="preserve">28J</t>
  </si>
  <si>
    <t xml:space="preserve">Bajaj Finance Ltd. 1st Floor Ranchi Road Redma Near Bhagbati Hospital  Daltanganj  Jharkhand -822101</t>
  </si>
  <si>
    <t xml:space="preserve">Kumar Nikhil</t>
  </si>
  <si>
    <t xml:space="preserve">M-91 9122395477</t>
  </si>
  <si>
    <t xml:space="preserve">kumar.nikhil@bajajfinserv.in</t>
  </si>
  <si>
    <t xml:space="preserve">Deoghar</t>
  </si>
  <si>
    <t xml:space="preserve">Main Branch</t>
  </si>
  <si>
    <t xml:space="preserve">JH5U200039</t>
  </si>
  <si>
    <t xml:space="preserve">5U2</t>
  </si>
  <si>
    <t xml:space="preserve">Bajaj Finance Ltd, 1st floor, "deoghar palace",vip chowk, holding No. 128, ward No. 9, back side of v mart, deoghar - 814112</t>
  </si>
  <si>
    <t xml:space="preserve">Subhash Mandal</t>
  </si>
  <si>
    <t xml:space="preserve">Mob-9006515234</t>
  </si>
  <si>
    <t xml:space="preserve">subhash.mandal2@bajajfinserv.in</t>
  </si>
  <si>
    <t xml:space="preserve">Action-1</t>
  </si>
  <si>
    <t xml:space="preserve">Deori</t>
  </si>
  <si>
    <t xml:space="preserve">JHID900001</t>
  </si>
  <si>
    <t xml:space="preserve">ID9</t>
  </si>
  <si>
    <t xml:space="preserve">Bajaj Finance Ltd, Khata No 78, Plot No 27, 1st Floor Beside Bank of India, Infront of Block Office Deori, Dist – Giridih, Jharkhand -815314</t>
  </si>
  <si>
    <t xml:space="preserve">Md Rizwan Ansari</t>
  </si>
  <si>
    <t xml:space="preserve">Mob-8540025784</t>
  </si>
  <si>
    <t xml:space="preserve">md.ansari34@bajajfinserv.in</t>
  </si>
  <si>
    <t xml:space="preserve">Dhanbad</t>
  </si>
  <si>
    <t xml:space="preserve">JH4K700065</t>
  </si>
  <si>
    <t xml:space="preserve">4K7</t>
  </si>
  <si>
    <t xml:space="preserve">3rd Floor</t>
  </si>
  <si>
    <t xml:space="preserve">Bajaj Finance Ltd, 3rd floor, commerce house, shastri nagar bank more, dhanbad - 826001</t>
  </si>
  <si>
    <t xml:space="preserve">Chandan Kumar</t>
  </si>
  <si>
    <t xml:space="preserve">Mob-9523641580</t>
  </si>
  <si>
    <t xml:space="preserve">chandan.kumar21@bizsupporta.com</t>
  </si>
  <si>
    <t xml:space="preserve">Admin Assistant</t>
  </si>
  <si>
    <t xml:space="preserve">Dumka</t>
  </si>
  <si>
    <t xml:space="preserve">JH6F800025</t>
  </si>
  <si>
    <t xml:space="preserve">6F8</t>
  </si>
  <si>
    <t xml:space="preserve">Bajaj Finance Ltd, Ground floor, holding No. 196, Ground Floor bhagalpur road, ps: dumka town, dumka  Beside yamaha showroom, opp. To yash electronics. Jharkhand- 814101</t>
  </si>
  <si>
    <t xml:space="preserve">Shibnath Saha</t>
  </si>
  <si>
    <t xml:space="preserve">M-8372825648</t>
  </si>
  <si>
    <t xml:space="preserve">shibnath.saha@bajajfinserv.in</t>
  </si>
  <si>
    <t xml:space="preserve">Dumri</t>
  </si>
  <si>
    <t xml:space="preserve">JHE1100009</t>
  </si>
  <si>
    <t xml:space="preserve">E11</t>
  </si>
  <si>
    <t xml:space="preserve">Bajaj Finance Ltd, 1st Floor, Barnawal Market, Isri Bazar, Old GT Road, Near Bank of India, Isri, Nimiaghat, Dumri, Giridh, Jharkhand – 825167</t>
  </si>
  <si>
    <t xml:space="preserve">Abhishek Kumar Pandey</t>
  </si>
  <si>
    <t xml:space="preserve">Mob-7479710073</t>
  </si>
  <si>
    <t xml:space="preserve">abhishek.pandey27@bajajfinserv.in</t>
  </si>
  <si>
    <t xml:space="preserve">Gamharia</t>
  </si>
  <si>
    <t xml:space="preserve">JHIK800002</t>
  </si>
  <si>
    <t xml:space="preserve">IK8</t>
  </si>
  <si>
    <t xml:space="preserve">Bajaj Finance Ltd,1st Floor Dream Inn Hotel, 1st floor near Ghoda baba Mandir main road Gamhariya, Jamshedpur , Sarikela Kharsawan Jharkhand -832108</t>
  </si>
  <si>
    <t xml:space="preserve">Praveen Choudhary</t>
  </si>
  <si>
    <t xml:space="preserve">M-8789483336</t>
  </si>
  <si>
    <t xml:space="preserve">praveen.choudhary2@bajajfinserv.in</t>
  </si>
  <si>
    <t xml:space="preserve">JH82K00019</t>
  </si>
  <si>
    <t xml:space="preserve">82K</t>
  </si>
  <si>
    <t xml:space="preserve">Bajaj Finance Ltd. 1st Floor, Plot No.39 Near HDFC bank, Chiniya Road, Garhwa -822114 (Jharkhand)</t>
  </si>
  <si>
    <t xml:space="preserve">Mob-8789483336</t>
  </si>
  <si>
    <t xml:space="preserve">Ghatshila</t>
  </si>
  <si>
    <t xml:space="preserve">East Singhbhum</t>
  </si>
  <si>
    <t xml:space="preserve">East Singhbum</t>
  </si>
  <si>
    <t xml:space="preserve">JH83K00021</t>
  </si>
  <si>
    <t xml:space="preserve">83K</t>
  </si>
  <si>
    <t xml:space="preserve">Bajaj Finance Ltd. 1st Floor, Goyal Complex, Main Road, Above Canara Bank Ghatshila -832303 (Jharkhand)</t>
  </si>
  <si>
    <t xml:space="preserve">Gurdip Singh</t>
  </si>
  <si>
    <t xml:space="preserve">Mob-8210199759</t>
  </si>
  <si>
    <t xml:space="preserve">gurdip.singh@bajajfinserv.in</t>
  </si>
  <si>
    <t xml:space="preserve">JH6F700033</t>
  </si>
  <si>
    <t xml:space="preserve">6F7</t>
  </si>
  <si>
    <t xml:space="preserve">Bajaj Finance Ltd, “ Balaji towers, 1st floor, giridih bengabad main road, barganda, makatpur, giridih, jharkhand, near bank of maharashtra 815301</t>
  </si>
  <si>
    <t xml:space="preserve">Anjani Mishra</t>
  </si>
  <si>
    <t xml:space="preserve">Mob-9608205953</t>
  </si>
  <si>
    <t xml:space="preserve">anjani.mishra@bajajfinserv.in</t>
  </si>
  <si>
    <t xml:space="preserve">Gobindpur</t>
  </si>
  <si>
    <t xml:space="preserve">JHIK900002</t>
  </si>
  <si>
    <t xml:space="preserve">IK9</t>
  </si>
  <si>
    <t xml:space="preserve">Bajaj Finance Limited, 1st floor, Near Teacher training school, Behind Kotak Mahindra Bank, Near Heamax Hospital Chatt Talab, Gobindpur, District- Dhanbad, Jharkhand Pin code- 828109</t>
  </si>
  <si>
    <t xml:space="preserve">Umesh Mahato</t>
  </si>
  <si>
    <t xml:space="preserve">Mob-7903401766</t>
  </si>
  <si>
    <t xml:space="preserve">umesh.mahto@bajajfinserv.in</t>
  </si>
  <si>
    <t xml:space="preserve">Godda</t>
  </si>
  <si>
    <t xml:space="preserve">JH27J00020</t>
  </si>
  <si>
    <t xml:space="preserve">27J</t>
  </si>
  <si>
    <t xml:space="preserve">Bajaj Finance Ltd. 2nd Floor, Ward No-2 pirpainti road 2nd Floor Push Plaza Above ICICI BANK &amp; HDFC Bank Near UCO Bank &amp; HDB Fincial Godda Jharkhand -814133</t>
  </si>
  <si>
    <t xml:space="preserve">Md Muddeasshir Hussain</t>
  </si>
  <si>
    <t xml:space="preserve">Mob-7870970926</t>
  </si>
  <si>
    <t xml:space="preserve">md.hussain2@bajajfinserv.in</t>
  </si>
  <si>
    <t xml:space="preserve">Gumla</t>
  </si>
  <si>
    <t xml:space="preserve">JH24J00025</t>
  </si>
  <si>
    <t xml:space="preserve">24J</t>
  </si>
  <si>
    <t xml:space="preserve">Bajaj Finance Ltd. 2nd Floor, Ward No.17  R-6 Tower 2Nd Floor Above State Bank Of India Jashpur Road  Gumla  Jharkhand -835207</t>
  </si>
  <si>
    <t xml:space="preserve">Sibu Kumar</t>
  </si>
  <si>
    <t xml:space="preserve">Mob-8609822321</t>
  </si>
  <si>
    <t xml:space="preserve">shibu.kumar@bajajfinserv.in</t>
  </si>
  <si>
    <t xml:space="preserve">Hansdiha</t>
  </si>
  <si>
    <t xml:space="preserve">JHB2600004</t>
  </si>
  <si>
    <t xml:space="preserve">B26</t>
  </si>
  <si>
    <t xml:space="preserve">Ground Floor Near javahar navoday vidhyalay Hansdiha Dumka Road Moja Parkheta Hansdiha Dist. Dumka Jharkhand Pincode 814145</t>
  </si>
  <si>
    <t xml:space="preserve">Suraj Paswan</t>
  </si>
  <si>
    <t xml:space="preserve">Mob-9798776765</t>
  </si>
  <si>
    <t xml:space="preserve">suraj.paswan@bajajfinserv.in</t>
  </si>
  <si>
    <t xml:space="preserve">Hazaribagh</t>
  </si>
  <si>
    <t xml:space="preserve">JH5T900041</t>
  </si>
  <si>
    <t xml:space="preserve">5T9</t>
  </si>
  <si>
    <t xml:space="preserve">Bajaj Finance Ltd, 1st floor " JAI MATA DI COMPLEX, Near Old Muffasil Thana and St. Columnas College, Ranchi-Patna Road hazaribag - 825 301.</t>
  </si>
  <si>
    <t xml:space="preserve">Pintu Kumar </t>
  </si>
  <si>
    <t xml:space="preserve">M-7739991137</t>
  </si>
  <si>
    <t xml:space="preserve">pintu.kumar1@bajajfinserv.in </t>
  </si>
  <si>
    <t xml:space="preserve">Jamshedpur 2RD FLOOR</t>
  </si>
  <si>
    <t xml:space="preserve">JH51500101</t>
  </si>
  <si>
    <t xml:space="preserve">Bajaj Finance Ltd, The SANCTUM,2nd Floor &amp; 3rd floor,Above YES Bank,141,S.N.P Area,Ambagan,Sakchi,Jamshedpur,Jharkhand-831001</t>
  </si>
  <si>
    <t xml:space="preserve">Biswajeet Mohanty</t>
  </si>
  <si>
    <t xml:space="preserve">Mob-9031250006</t>
  </si>
  <si>
    <t xml:space="preserve">biswajeet.mohanty@bizsupporta.com</t>
  </si>
  <si>
    <t xml:space="preserve">Jamshedpur 3RD FLOOR</t>
  </si>
  <si>
    <t xml:space="preserve">515BB</t>
  </si>
  <si>
    <t xml:space="preserve">Separate Pantry</t>
  </si>
  <si>
    <t xml:space="preserve">Jamua</t>
  </si>
  <si>
    <t xml:space="preserve">JH03Q00016</t>
  </si>
  <si>
    <t xml:space="preserve">03Q</t>
  </si>
  <si>
    <t xml:space="preserve">Bajaj Finance Ltd. Plot No. 449, Khata No-13, Infornt Of Canara Bank Above TVS Showroom Ground Floor Thana Road  dist giridih Jharkhand, jamua-815318</t>
  </si>
  <si>
    <t xml:space="preserve">Rahul Sinha</t>
  </si>
  <si>
    <t xml:space="preserve">Mob-8789090450</t>
  </si>
  <si>
    <t xml:space="preserve">rahul.sinha2@bajajfinserv.in</t>
  </si>
  <si>
    <t xml:space="preserve">Karmatar</t>
  </si>
  <si>
    <t xml:space="preserve">Jamtara</t>
  </si>
  <si>
    <t xml:space="preserve">JH1T100004</t>
  </si>
  <si>
    <t xml:space="preserve">1T1</t>
  </si>
  <si>
    <t xml:space="preserve">First Floor, Above Bank of India, Post &amp;  PS Karmatar Dist. Jamtara, JH -815352</t>
  </si>
  <si>
    <t xml:space="preserve">Vikash Kumar</t>
  </si>
  <si>
    <t xml:space="preserve">Mob-6206234342</t>
  </si>
  <si>
    <t xml:space="preserve">vikash.kumar12@bajajfinserv.in</t>
  </si>
  <si>
    <t xml:space="preserve">Katrasgarah</t>
  </si>
  <si>
    <t xml:space="preserve">Mini branch</t>
  </si>
  <si>
    <t xml:space="preserve">JHHE100002</t>
  </si>
  <si>
    <t xml:space="preserve">HE1</t>
  </si>
  <si>
    <t xml:space="preserve">Bajaj Finance Ltd, 1st floor Mouza No.239, Khata No -412, Plot No -1801, Kalali Phatak, Katras Bazar, Katrasgarh ,Jharkhand -828114</t>
  </si>
  <si>
    <t xml:space="preserve">Randhir Kumar</t>
  </si>
  <si>
    <t xml:space="preserve">Mob-9955375704</t>
  </si>
  <si>
    <t xml:space="preserve">randhir.kumar5@bajajfinserv.in</t>
  </si>
  <si>
    <t xml:space="preserve">Khalari</t>
  </si>
  <si>
    <t xml:space="preserve">JH16V00016</t>
  </si>
  <si>
    <t xml:space="preserve">16V</t>
  </si>
  <si>
    <t xml:space="preserve">Bajaj Finance Ltd. 2nd floor ,Sonu Motor Building,Sahid Chowk, KD Road,Near Over bridge, Khalari,Dist:- Ranchi, Jharkhand – 829205</t>
  </si>
  <si>
    <t xml:space="preserve">Ratnesh Pandey</t>
  </si>
  <si>
    <t xml:space="preserve">M- 7368972200</t>
  </si>
  <si>
    <t xml:space="preserve">ratnesh.pandey4@bajajfinserv.in</t>
  </si>
  <si>
    <t xml:space="preserve">Khunti</t>
  </si>
  <si>
    <t xml:space="preserve">JH14V00014</t>
  </si>
  <si>
    <t xml:space="preserve">14V</t>
  </si>
  <si>
    <t xml:space="preserve">Bajaj Finance Ltd. 1st Floor, Basant Complex, Neta Ji Chowk, Main Road Khuti-835210 (Jharkhand)</t>
  </si>
  <si>
    <t xml:space="preserve">Avinash Kumar</t>
  </si>
  <si>
    <t xml:space="preserve">Mob-8609285663</t>
  </si>
  <si>
    <t xml:space="preserve">avinash.kumar10@bajajfinserv.in</t>
  </si>
  <si>
    <t xml:space="preserve">Kodarma</t>
  </si>
  <si>
    <t xml:space="preserve">Koderma</t>
  </si>
  <si>
    <t xml:space="preserve">JHU5100021</t>
  </si>
  <si>
    <t xml:space="preserve">U51</t>
  </si>
  <si>
    <t xml:space="preserve">Bajaj Finance Ltd, Ground floor, j k tower, jhumri telaiya ranchi patna road jharkhand, c.d. Colony, jhumri telaiya, koderma, jharkhand 825409</t>
  </si>
  <si>
    <t xml:space="preserve">Uday Kumar</t>
  </si>
  <si>
    <t xml:space="preserve">Mob-8789195208</t>
  </si>
  <si>
    <t xml:space="preserve">uday.kumar1@bajajfinserv.in</t>
  </si>
  <si>
    <t xml:space="preserve">Madhupur</t>
  </si>
  <si>
    <t xml:space="preserve">JH25J00023</t>
  </si>
  <si>
    <t xml:space="preserve">25J</t>
  </si>
  <si>
    <t xml:space="preserve">Bajaj Finance Ltd. 1St Floor, Nagar Palika More, Thane Chowk, Madhupur, Jharkhand, 815353</t>
  </si>
  <si>
    <t xml:space="preserve">Nilamani Ray</t>
  </si>
  <si>
    <t xml:space="preserve">Mob-7004599073</t>
  </si>
  <si>
    <t xml:space="preserve">nilamani.ray@bajajfinserv.in</t>
  </si>
  <si>
    <t xml:space="preserve">Mahuadanr</t>
  </si>
  <si>
    <t xml:space="preserve">Latehar</t>
  </si>
  <si>
    <t xml:space="preserve">JHIG500001</t>
  </si>
  <si>
    <t xml:space="preserve">IG5</t>
  </si>
  <si>
    <t xml:space="preserve">Bajaj Finance Ltd,  Mouza No. 136, Khata No.77, Plot No.535, 536 &amp; 537, Ground Floor Opposite Azad Market, Mahuwadanr, Dist – Latehar, Jharkhand – 822119</t>
  </si>
  <si>
    <t xml:space="preserve">Ritesh Pandey</t>
  </si>
  <si>
    <t xml:space="preserve">Mob-7870910408</t>
  </si>
  <si>
    <t xml:space="preserve">ritesh.pandey1@bajajfinserv.in</t>
  </si>
  <si>
    <t xml:space="preserve">Nirsa</t>
  </si>
  <si>
    <t xml:space="preserve">JH25F00020</t>
  </si>
  <si>
    <t xml:space="preserve">25F</t>
  </si>
  <si>
    <t xml:space="preserve">Bajaj Finance Ltd, 1st floor , above sbi atm, jamtara road, nirsa market,jharkhand, nirsa 828205</t>
  </si>
  <si>
    <t xml:space="preserve">Hemant Giri</t>
  </si>
  <si>
    <t xml:space="preserve">Mob-8709922639</t>
  </si>
  <si>
    <t xml:space="preserve">hemant.giri@bajajfinserv.in</t>
  </si>
  <si>
    <t xml:space="preserve">Pakur</t>
  </si>
  <si>
    <t xml:space="preserve">JH84K00018</t>
  </si>
  <si>
    <t xml:space="preserve">84K</t>
  </si>
  <si>
    <t xml:space="preserve">Bajaj Finance Ltd. 1st Floor, Plot No. 1275, Above UCO Bank, Main Road, Kalibhansan Pakur -816107 (Jharkhand)</t>
  </si>
  <si>
    <t xml:space="preserve">Vinit Chaudhary</t>
  </si>
  <si>
    <t xml:space="preserve">Mob-7903222294</t>
  </si>
  <si>
    <t xml:space="preserve">vinit.choudhary@bajajfinserv.in</t>
  </si>
  <si>
    <t xml:space="preserve">Patratu</t>
  </si>
  <si>
    <t xml:space="preserve">Ramgarh</t>
  </si>
  <si>
    <t xml:space="preserve">JH02Q00014</t>
  </si>
  <si>
    <t xml:space="preserve">02Q</t>
  </si>
  <si>
    <t xml:space="preserve">Bajaj Finance Ltd. Ground floor, Near Bhandan bank Station road  dist ramghar, Patratu - 829118</t>
  </si>
  <si>
    <t xml:space="preserve">Surendra Mehta</t>
  </si>
  <si>
    <t xml:space="preserve">Mob-7030325164</t>
  </si>
  <si>
    <t xml:space="preserve">surendra.mehta@bajajfinserv.in</t>
  </si>
  <si>
    <t xml:space="preserve">Admin</t>
  </si>
  <si>
    <t xml:space="preserve">Peterbar Jh</t>
  </si>
  <si>
    <t xml:space="preserve">JH05Q00015</t>
  </si>
  <si>
    <t xml:space="preserve">05Q</t>
  </si>
  <si>
    <t xml:space="preserve">Bajaj Finance Ltd. 1st Floor, Beside Bank Of India, Main Road 110, ranchi, Dhanbad Road, Village Gagi Post Peterbar, Bakaro, Jharkhand-829121</t>
  </si>
  <si>
    <t xml:space="preserve">Shubham Rana</t>
  </si>
  <si>
    <t xml:space="preserve">Mob-9122363208</t>
  </si>
  <si>
    <t xml:space="preserve">shubham.rana@bajajfinserv.in</t>
  </si>
  <si>
    <t xml:space="preserve">Phusro</t>
  </si>
  <si>
    <t xml:space="preserve">JHU5000031</t>
  </si>
  <si>
    <t xml:space="preserve">U50</t>
  </si>
  <si>
    <t xml:space="preserve">Bajaj Finance Ltd, Kakkar House, 1st Floor Main Road, Phusro Bazar, New Band Box, Near Prabhat battery   P.S. Bermo, Phusro - 829144 (Jharkhand)</t>
  </si>
  <si>
    <t xml:space="preserve">Rocky Kumar</t>
  </si>
  <si>
    <t xml:space="preserve">Mob-9304948325</t>
  </si>
  <si>
    <t xml:space="preserve">rocky.kumar6@bajajfinserv.in</t>
  </si>
  <si>
    <t xml:space="preserve">JH6G200032</t>
  </si>
  <si>
    <t xml:space="preserve">6G2</t>
  </si>
  <si>
    <t xml:space="preserve">Bajaj Finance Ltd, 1st floor, kumar complex"  near  thana chowk, opposite hero showroom ramgarh, jharkhand pin code - 829122</t>
  </si>
  <si>
    <t xml:space="preserve">Gaurav kumar Tiwary</t>
  </si>
  <si>
    <t xml:space="preserve">Mob-7004206511</t>
  </si>
  <si>
    <t xml:space="preserve">gauravkumar.tiwari@bajajfinserv.in</t>
  </si>
  <si>
    <t xml:space="preserve">JH59400094</t>
  </si>
  <si>
    <t xml:space="preserve">Bajaj Finance Ltd, 3rd floor, estate plaza, office No 301, kantatuli chowk, old h b road, behind mangal tower, ranchi 834001</t>
  </si>
  <si>
    <t xml:space="preserve">Ranchi - Additional </t>
  </si>
  <si>
    <t xml:space="preserve">594B1</t>
  </si>
  <si>
    <t xml:space="preserve">Bajaj Finance Ltd, 3rd floor, estate plaza, office No 302 &amp; 303, kantatuli chowk, old h b road, behind mangal tower, ranchi 834001</t>
  </si>
  <si>
    <t xml:space="preserve">Sahibganj</t>
  </si>
  <si>
    <t xml:space="preserve">Sahebganj</t>
  </si>
  <si>
    <t xml:space="preserve">JH26J00016</t>
  </si>
  <si>
    <t xml:space="preserve">26J</t>
  </si>
  <si>
    <t xml:space="preserve">Bajaj Finance Ltd. 1St Floor, Near Subhash Chowk, Above Honda Showroom, Sahibgunj, Jharkhand, 816109</t>
  </si>
  <si>
    <t xml:space="preserve">Sanni Pandit</t>
  </si>
  <si>
    <t xml:space="preserve">Mob-9939707063</t>
  </si>
  <si>
    <t xml:space="preserve">sanni.pandit@bajajfinserv.in</t>
  </si>
  <si>
    <t xml:space="preserve">Saraikela</t>
  </si>
  <si>
    <t xml:space="preserve">JKJY400001</t>
  </si>
  <si>
    <t xml:space="preserve">JY4</t>
  </si>
  <si>
    <t xml:space="preserve">Bajaj Finance Limited, Ground floor Ward No-06, Jail Road, Near KVPDSS Girls School, Saraikela, Jharkhand 833219</t>
  </si>
  <si>
    <t xml:space="preserve">Subham Pradhan</t>
  </si>
  <si>
    <t xml:space="preserve">Mob-8210206764</t>
  </si>
  <si>
    <t xml:space="preserve">subham.pradhan5@bajajfinserv.in</t>
  </si>
  <si>
    <t xml:space="preserve">Lohardaga</t>
  </si>
  <si>
    <t xml:space="preserve">Bajaj Finance Limited , First Floor,J P S complex,Khata No.361, Plot No.1255, Kudu Gumla Road Lohardaga, at village Lohardaga Pin code 835302 </t>
  </si>
  <si>
    <t xml:space="preserve">Notary</t>
  </si>
  <si>
    <t xml:space="preserve">Nilesh Anand Verma</t>
  </si>
  <si>
    <t xml:space="preserve">Mob-7909004801</t>
  </si>
  <si>
    <t xml:space="preserve">nilesh.verma1@bajajfinserv.in</t>
  </si>
  <si>
    <t xml:space="preserve">R 31 Branch </t>
  </si>
  <si>
    <t xml:space="preserve">Japla</t>
  </si>
  <si>
    <t xml:space="preserve">Bajaj Finance Limited, First Floor,Badari Narayan Complex,Khata No.10, Plot No.210, Main Chattarpur Road, Near Khadi Bhandar, at Village Japla Darhara Pin code 822116 </t>
  </si>
  <si>
    <t xml:space="preserve">Kumar Kanishk</t>
  </si>
  <si>
    <t xml:space="preserve">Mob-7361040503</t>
  </si>
  <si>
    <t xml:space="preserve">kumar.kanishka@bajajfinserv.in</t>
  </si>
  <si>
    <t xml:space="preserve">Rajdhanwar</t>
  </si>
  <si>
    <t xml:space="preserve">Giridhi</t>
  </si>
  <si>
    <t xml:space="preserve">Bajaj Finance Limited , First Floor,Khata No.25, Unit Holding No.0050000195000X1, Plot No.786, Nawadih Road, Deewan Tola Near State of India, at Village Dhanwar (Rajdhanwar)  Pin code 825412 </t>
  </si>
  <si>
    <t xml:space="preserve">Sanni Kumar Sinha</t>
  </si>
  <si>
    <t xml:space="preserve">Mob-6200423679</t>
  </si>
  <si>
    <t xml:space="preserve">sanni.sinha@bajajfinserv.in</t>
  </si>
  <si>
    <t xml:space="preserve">Sarath</t>
  </si>
  <si>
    <t xml:space="preserve">Bajaj Finance Limited , First Floor,Thana No.132 appertaining to J.B. No.222, Plot No.521, Kachua Bank, Gopibandh, at Village Sarath Pin code 814149</t>
  </si>
  <si>
    <t xml:space="preserve">Dilip Kumar Yadav</t>
  </si>
  <si>
    <t xml:space="preserve">Mob-7091108898</t>
  </si>
  <si>
    <t xml:space="preserve">dilip.yadav2@bajajfinserv.in</t>
  </si>
  <si>
    <t xml:space="preserve">Amalapuram</t>
  </si>
  <si>
    <t xml:space="preserve">East Godavari</t>
  </si>
  <si>
    <t xml:space="preserve">Konaseema</t>
  </si>
  <si>
    <t xml:space="preserve">AP5T200034</t>
  </si>
  <si>
    <t xml:space="preserve">5T2</t>
  </si>
  <si>
    <t xml:space="preserve">Bajaj Finance Limited., 1st Floor , 7-2-27, Patchigolla Complex, Above  Bank of Maharashtra, Mummidivaram gate, Main Road, Amalapuram - 533201. Andhra Pradesh</t>
  </si>
  <si>
    <t xml:space="preserve">Nikhil Joshi</t>
  </si>
  <si>
    <t xml:space="preserve">Mob-9860292959</t>
  </si>
  <si>
    <t xml:space="preserve">nikhil.joshi@bajajfinserv.in</t>
  </si>
  <si>
    <t xml:space="preserve">Ravi Krishna Ramoji</t>
  </si>
  <si>
    <t xml:space="preserve">Mob-9949963627</t>
  </si>
  <si>
    <t xml:space="preserve">ravikrishna.ramoji@bajajfinserv.in</t>
  </si>
  <si>
    <t xml:space="preserve">LC</t>
  </si>
  <si>
    <t xml:space="preserve">Anakapalle</t>
  </si>
  <si>
    <t xml:space="preserve">Visakhapatnam</t>
  </si>
  <si>
    <t xml:space="preserve">Anakapalli</t>
  </si>
  <si>
    <t xml:space="preserve">AP57000030</t>
  </si>
  <si>
    <t xml:space="preserve">Bajaj Finance Limited., 1st  Floor, Parvathi Heights, 12-01-1937, Opp. Ntr Stadium, Anakapalle – 531001.  Andhra Pradesh</t>
  </si>
  <si>
    <t xml:space="preserve">Boorapu Jaya Rajeswara Rao</t>
  </si>
  <si>
    <t xml:space="preserve">Mob-9949948831</t>
  </si>
  <si>
    <t xml:space="preserve">boorapujaya.rajeswararao@bajajfinserv.in</t>
  </si>
  <si>
    <t xml:space="preserve">Bhimavaram</t>
  </si>
  <si>
    <t xml:space="preserve">Bhimavaram New</t>
  </si>
  <si>
    <t xml:space="preserve">West Godavari</t>
  </si>
  <si>
    <t xml:space="preserve">AP51900052</t>
  </si>
  <si>
    <t xml:space="preserve">Eswara Towers, 22-11-11, 1st Floor, Near Mavulamma Temple Center, Axis Bank Bhimavaram -534201</t>
  </si>
  <si>
    <t xml:space="preserve">Sivaneni Satish</t>
  </si>
  <si>
    <t xml:space="preserve">Mob-8978247834</t>
  </si>
  <si>
    <t xml:space="preserve">sivaneni.satish@bajajfinserv.in</t>
  </si>
  <si>
    <t xml:space="preserve">Kakinada</t>
  </si>
  <si>
    <t xml:space="preserve">AP46900067</t>
  </si>
  <si>
    <t xml:space="preserve">1St Floor, N V R Complex, D.No. 13-1-57, Main Road, Kakinada 533001</t>
  </si>
  <si>
    <t xml:space="preserve">Admin Manager</t>
  </si>
  <si>
    <t xml:space="preserve">Kakinada Additional</t>
  </si>
  <si>
    <t xml:space="preserve">469K</t>
  </si>
  <si>
    <t xml:space="preserve">Viswantham Complex, # 5-1-61/2, Subhash Road, Suryaraopeta,  Ward No :08, Kakinada - 533001</t>
  </si>
  <si>
    <t xml:space="preserve">Kakinada Additional 4Th Floor</t>
  </si>
  <si>
    <t xml:space="preserve">4th Floor</t>
  </si>
  <si>
    <t xml:space="preserve">4th Floor, N V R Complex, D.No. 13-1-57, Main Road, Kakinada 533001</t>
  </si>
  <si>
    <t xml:space="preserve">Action-2 Branch</t>
  </si>
  <si>
    <t xml:space="preserve">Kasibugga Palasa</t>
  </si>
  <si>
    <t xml:space="preserve">Srikakulam</t>
  </si>
  <si>
    <t xml:space="preserve">AP6X900026</t>
  </si>
  <si>
    <t xml:space="preserve">6X9</t>
  </si>
  <si>
    <t xml:space="preserve">Bajaj Finance Limited., 1st  Floor,Kothakota Complex, Nxt Apsrtc Bus Stand, Kasibugga, Palasa - 532222. Andhra Pradesh</t>
  </si>
  <si>
    <t xml:space="preserve">Paidi Santharao</t>
  </si>
  <si>
    <t xml:space="preserve">Mob-9666959334</t>
  </si>
  <si>
    <t xml:space="preserve">paidi.santharao@bajajfinserv.in</t>
  </si>
  <si>
    <t xml:space="preserve">Mandapeta</t>
  </si>
  <si>
    <t xml:space="preserve">BGL</t>
  </si>
  <si>
    <t xml:space="preserve">APU3400021</t>
  </si>
  <si>
    <t xml:space="preserve">U34</t>
  </si>
  <si>
    <t xml:space="preserve">Bajaj Finance Limited., 1st Floor, Above Tamilnadu Mercantile Bank, Beside Shri Krishna Lodge, Main Road, Mandapeta - 533308.  Andhra Pradesh</t>
  </si>
  <si>
    <t xml:space="preserve">Badda Victor Anand</t>
  </si>
  <si>
    <t xml:space="preserve">Mob-9603903766</t>
  </si>
  <si>
    <t xml:space="preserve">badda.anand@bajajfinserv.in</t>
  </si>
  <si>
    <t xml:space="preserve">Narsapur</t>
  </si>
  <si>
    <t xml:space="preserve">AP6Z500021</t>
  </si>
  <si>
    <t xml:space="preserve">6Z5</t>
  </si>
  <si>
    <t xml:space="preserve">Bajaj Finance Limited., 1st Floor, Srinivas Nivas, .No:-3-1-1/1,1st Fllor,Above KVB Bank,Kotipalli Gari Veedi,Narsapuram-534275. Andhra Pradesh</t>
  </si>
  <si>
    <t xml:space="preserve">Uppala.Suresh</t>
  </si>
  <si>
    <t xml:space="preserve">MOB- 9666046362</t>
  </si>
  <si>
    <t xml:space="preserve">suresh.uppala2@bajajfinserv.in</t>
  </si>
  <si>
    <t xml:space="preserve">Narsipatnam</t>
  </si>
  <si>
    <t xml:space="preserve">Co-Existence (Mini Branch)</t>
  </si>
  <si>
    <t xml:space="preserve">APHP200002 </t>
  </si>
  <si>
    <t xml:space="preserve">HP2</t>
  </si>
  <si>
    <t xml:space="preserve">Bajaj Finance Limited, #1-1-160, Shanti nagar,narsipatnam-Ankapali mainroad, above Kotak mahindra bank, Narsipatnam-531116</t>
  </si>
  <si>
    <t xml:space="preserve">Bheemireddi Srinuvas</t>
  </si>
  <si>
    <t xml:space="preserve">Mob-8008698415</t>
  </si>
  <si>
    <t xml:space="preserve">bheemireddi.srinuvas@bajajfinserv.in</t>
  </si>
  <si>
    <t xml:space="preserve">Paderu</t>
  </si>
  <si>
    <t xml:space="preserve">NX Main</t>
  </si>
  <si>
    <t xml:space="preserve">Alluri Sitharama Raju</t>
  </si>
  <si>
    <t xml:space="preserve">APHB200005</t>
  </si>
  <si>
    <t xml:space="preserve">HB2</t>
  </si>
  <si>
    <t xml:space="preserve">13-124, Gudivada Main Road, Paderu – 531024</t>
  </si>
  <si>
    <t xml:space="preserve">Bukka Vinod Kumar</t>
  </si>
  <si>
    <t xml:space="preserve">Mob-9492821334</t>
  </si>
  <si>
    <t xml:space="preserve">bukka.kumar@bajajfinserv.in</t>
  </si>
  <si>
    <t xml:space="preserve">Palakollu</t>
  </si>
  <si>
    <t xml:space="preserve">AP6Y100030</t>
  </si>
  <si>
    <t xml:space="preserve">6Y1</t>
  </si>
  <si>
    <t xml:space="preserve">Bajaj Finance Limited., D.No:- 35-5-20, 1st Floor,Middhe Narayanamma Complex, Opp. Anandh Sai Sweet stall, Palakollu - 534260. Andhra Pradesh</t>
  </si>
  <si>
    <t xml:space="preserve">chintaluri Naga Kanaka Surya  Ranga sai ganesh </t>
  </si>
  <si>
    <t xml:space="preserve">Mob-9963967936</t>
  </si>
  <si>
    <t xml:space="preserve">Chinataluri.ganesh@bajajfinserv.in </t>
  </si>
  <si>
    <t xml:space="preserve">Parvathipuram</t>
  </si>
  <si>
    <t xml:space="preserve">Vizianagaram</t>
  </si>
  <si>
    <t xml:space="preserve">Parvathipuram Manyam</t>
  </si>
  <si>
    <t xml:space="preserve">AP6Y000026</t>
  </si>
  <si>
    <t xml:space="preserve">6Y0</t>
  </si>
  <si>
    <t xml:space="preserve">Bajaj Finance Limited., 1st Floor,Krishna Building, Opp Hotel Srikanth, Rajiv Marg, Parvathipuram- 535501. Andhra Pradesh</t>
  </si>
  <si>
    <t xml:space="preserve">Routhu Vamsikrishna</t>
  </si>
  <si>
    <t xml:space="preserve">Mob-9010190195</t>
  </si>
  <si>
    <t xml:space="preserve">routhu.vamsikrishna@bajajfinserv.in</t>
  </si>
  <si>
    <t xml:space="preserve">Rajahmundry</t>
  </si>
  <si>
    <t xml:space="preserve">AP46700075</t>
  </si>
  <si>
    <t xml:space="preserve">2nd Floor, Konduri Square, D.No. 36-7-14, Konduri Street, Innis Pet, Rajahmundry 533101</t>
  </si>
  <si>
    <t xml:space="preserve">Guru Vishnu</t>
  </si>
  <si>
    <t xml:space="preserve">Mob-9491223427</t>
  </si>
  <si>
    <t xml:space="preserve">bejji.vishnu@bizsupporta.com</t>
  </si>
  <si>
    <t xml:space="preserve">Rajahmundry Additional</t>
  </si>
  <si>
    <t xml:space="preserve">3rd Floor, Konduri Square, D.No. 36-7-14, Konduri Street, Innis Pet, Rajahmundry 533101</t>
  </si>
  <si>
    <t xml:space="preserve">Rajam</t>
  </si>
  <si>
    <t xml:space="preserve">APU3600022</t>
  </si>
  <si>
    <t xml:space="preserve">U36</t>
  </si>
  <si>
    <t xml:space="preserve">Bajaj Finance Limited., 1st Floor, D.NO.5-1-257, Above Corporation Bank, Beside Post Office, Srikakulam Road, Rajam-532127. Andhra Pradesh</t>
  </si>
  <si>
    <t xml:space="preserve">Voona Rama Krishna</t>
  </si>
  <si>
    <t xml:space="preserve">Mob-8897586143</t>
  </si>
  <si>
    <t xml:space="preserve">voona.krishna@bajajfinserv.in</t>
  </si>
  <si>
    <t xml:space="preserve">S Kota</t>
  </si>
  <si>
    <t xml:space="preserve">Srungavarapu Kota</t>
  </si>
  <si>
    <t xml:space="preserve">AP25W00018</t>
  </si>
  <si>
    <t xml:space="preserve">25W</t>
  </si>
  <si>
    <t xml:space="preserve"># 187-1, First Floor, Beside Of Ramakrishna Theatre, Opp. To Indian Oil Petrol Bank, Araku Road, Srungavarapu Kota , Visakhapatnam, Andhra Pradesh 535145</t>
  </si>
  <si>
    <t xml:space="preserve">Nakka Mohan</t>
  </si>
  <si>
    <t xml:space="preserve">Mob-8790112100</t>
  </si>
  <si>
    <t xml:space="preserve">nakka.mohanrao@bajajfinserv.in</t>
  </si>
  <si>
    <t xml:space="preserve">Samalkota</t>
  </si>
  <si>
    <t xml:space="preserve">AP6Z800022</t>
  </si>
  <si>
    <t xml:space="preserve">6Z8</t>
  </si>
  <si>
    <t xml:space="preserve">Ground</t>
  </si>
  <si>
    <t xml:space="preserve">Bajaj Finance Limited, Imandi Myhome, Door no. 18-1-29; GF of Imandi Myhome Apartment, Ganapathinagaram, SAMALKOTA- 533440</t>
  </si>
  <si>
    <t xml:space="preserve">Addala Suresh</t>
  </si>
  <si>
    <t xml:space="preserve">Mob-7032311640</t>
  </si>
  <si>
    <t xml:space="preserve">addala.suresh@bajajfinserv.in</t>
  </si>
  <si>
    <t xml:space="preserve">AP52500057</t>
  </si>
  <si>
    <t xml:space="preserve">Potunuru Plaza, 1St Floor, Beside Konark Sweets, Gt Road, Srikakulam – 532001</t>
  </si>
  <si>
    <t xml:space="preserve">Anilkumar Yarnagula</t>
  </si>
  <si>
    <t xml:space="preserve">Mob-9014581634</t>
  </si>
  <si>
    <t xml:space="preserve">anilkumar.yarnagula@bajajfinserv.in</t>
  </si>
  <si>
    <t xml:space="preserve">Tagarapuvalasa</t>
  </si>
  <si>
    <t xml:space="preserve"> APHP400001</t>
  </si>
  <si>
    <t xml:space="preserve">HP4</t>
  </si>
  <si>
    <t xml:space="preserve"> Bajaj Finanance Ltd. Bhagvan Enclave, 2nd Floor, D No.7-42-167/8, Ward No.9 Blockno.42, Visakhapatanam road, Tagarapuvalasa  Pincode -531163</t>
  </si>
  <si>
    <t xml:space="preserve">S.Praveen</t>
  </si>
  <si>
    <t xml:space="preserve">Mob-8008939304</t>
  </si>
  <si>
    <t xml:space="preserve">Shinagan.praveen@bajajfinserv.in</t>
  </si>
  <si>
    <t xml:space="preserve">Change in LC</t>
  </si>
  <si>
    <t xml:space="preserve">Tanuku</t>
  </si>
  <si>
    <t xml:space="preserve">AP6I400032</t>
  </si>
  <si>
    <t xml:space="preserve">6I4</t>
  </si>
  <si>
    <t xml:space="preserve">Bajaj Finance Ltd, 1st  Floor,28-6-15, Sri Matha Towers,Velpur Road, Opp. Kummarla Street, Rajiv Chowk, Tanuku-534211 Andhra Pradesh</t>
  </si>
  <si>
    <t xml:space="preserve">Geddada Yesubabu</t>
  </si>
  <si>
    <t xml:space="preserve">Mob-8977821751 </t>
  </si>
  <si>
    <t xml:space="preserve">geddada.yesubabu@bajajfinserv.in</t>
  </si>
  <si>
    <t xml:space="preserve">Tuni</t>
  </si>
  <si>
    <t xml:space="preserve">AP6I300026</t>
  </si>
  <si>
    <t xml:space="preserve">6I3</t>
  </si>
  <si>
    <t xml:space="preserve">Bajaj Finance Limited., 1st Floor, 4-2-24,Suneel Building, Above A To Z Mega Emporimprakasham Road, Main Road, Tuni – 533401. Andhra Pradesh</t>
  </si>
  <si>
    <t xml:space="preserve">N.Jeevan kumar</t>
  </si>
  <si>
    <t xml:space="preserve">Mob-9515428997</t>
  </si>
  <si>
    <t xml:space="preserve">Naram.kumar@bajajfinserv.in</t>
  </si>
  <si>
    <t xml:space="preserve">Yanam</t>
  </si>
  <si>
    <t xml:space="preserve">PY6Z900022</t>
  </si>
  <si>
    <t xml:space="preserve">6Z9</t>
  </si>
  <si>
    <t xml:space="preserve">1st Floor, M.A.K Heritage, Bus stand Road, Near Axis Bank, Khaki Street, Yanam, Pondicherry - 533464</t>
  </si>
  <si>
    <t xml:space="preserve">Sathi V</t>
  </si>
  <si>
    <t xml:space="preserve">Mob-8297144129</t>
  </si>
  <si>
    <t xml:space="preserve">sathi.v@bajajfinserv.in</t>
  </si>
  <si>
    <t xml:space="preserve">Visakhapatnam CSB</t>
  </si>
  <si>
    <t xml:space="preserve">Customer Service Branch</t>
  </si>
  <si>
    <t xml:space="preserve">AP34X00007</t>
  </si>
  <si>
    <t xml:space="preserve">D.No-50-81-70/5, 1St Floor, Aditya Complex, Seethammapeta, Visakhapatnam – 530013</t>
  </si>
  <si>
    <t xml:space="preserve">AP40800121</t>
  </si>
  <si>
    <t xml:space="preserve">408B</t>
  </si>
  <si>
    <t xml:space="preserve">Bajaj Finance Limited, 1St Floor, Sreya Complex, Narsimha Nagar, Kailasapuram, Visakhapatnam, Andhra Pradesh 530024</t>
  </si>
  <si>
    <t xml:space="preserve">Rent Changed</t>
  </si>
  <si>
    <t xml:space="preserve">Visakhapatnam Addtiional Ground Floor</t>
  </si>
  <si>
    <t xml:space="preserve">AP40800054</t>
  </si>
  <si>
    <t xml:space="preserve">34X</t>
  </si>
  <si>
    <t xml:space="preserve">Bajaj Finance Limited, "Sri Toweers" D.No.45-56-2,Ground Floor 2&amp;3, Narasimha Nagar, Allipuram, Visakhapatanam - 530016.</t>
  </si>
  <si>
    <t xml:space="preserve">Vizag Slpl</t>
  </si>
  <si>
    <t xml:space="preserve">49-24-65, Ravi Ghanta Complex, 2nd Floor, Sankara Mattam Road, Visakhapatnam – 530016</t>
  </si>
  <si>
    <t xml:space="preserve">Vizianagram</t>
  </si>
  <si>
    <t xml:space="preserve">AP47000056</t>
  </si>
  <si>
    <t xml:space="preserve">1St Floor, Plot No.164/A, Opp. Mee Seva Center, Above United Bank Of India, Baba Metta, Vuda Layout, Ring Road, Vizainagaram - 535 002.</t>
  </si>
  <si>
    <t xml:space="preserve">C.Ramachandra</t>
  </si>
  <si>
    <t xml:space="preserve">Mob-6304949224</t>
  </si>
  <si>
    <t xml:space="preserve">ramachandrararao.chintada@bajajfinserv.in</t>
  </si>
  <si>
    <t xml:space="preserve">LC changed From April</t>
  </si>
  <si>
    <t xml:space="preserve">Eluru</t>
  </si>
  <si>
    <t xml:space="preserve">AP56600065</t>
  </si>
  <si>
    <t xml:space="preserve">Bajaj Finance Ltd, 2nd Floor , 23A-7-19,1St Floor, K K S Street, Icici Bank Upstairs, R R Pet, Eluru- 534 002</t>
  </si>
  <si>
    <t xml:space="preserve">G Teja</t>
  </si>
  <si>
    <t xml:space="preserve">Mob-9502198254</t>
  </si>
  <si>
    <t xml:space="preserve">gundabathula.teja@bizsupporta.com</t>
  </si>
  <si>
    <t xml:space="preserve">U-Old Branch</t>
  </si>
  <si>
    <t xml:space="preserve">Eluru Additional</t>
  </si>
  <si>
    <t xml:space="preserve">566B</t>
  </si>
  <si>
    <t xml:space="preserve">Bajaja Finanace Ltd,Door No.: 27-1-36/3, Raguram Nilayam , 2nd floor, Journalist colony, Ammenapeta, Eluru, Pin code : 534006. </t>
  </si>
  <si>
    <t xml:space="preserve">Govada Vinay kumar</t>
  </si>
  <si>
    <t xml:space="preserve">Mob-9381494886</t>
  </si>
  <si>
    <t xml:space="preserve">govada.vinay@bajajfinserv.in</t>
  </si>
  <si>
    <t xml:space="preserve">Additional</t>
  </si>
  <si>
    <t xml:space="preserve">Gudivada</t>
  </si>
  <si>
    <t xml:space="preserve">Gold</t>
  </si>
  <si>
    <t xml:space="preserve">Krishna</t>
  </si>
  <si>
    <t xml:space="preserve">AP56300009</t>
  </si>
  <si>
    <t xml:space="preserve">Bajaj Finance Ltd, Ground Floor, "Sbi Building"Door No: 4/273, Near Sobhana Hotel, Ganganamma Street, Gudiwada – 521 301</t>
  </si>
  <si>
    <t xml:space="preserve">Goriparti Nagaraju</t>
  </si>
  <si>
    <t xml:space="preserve">Mob-8328549682</t>
  </si>
  <si>
    <t xml:space="preserve">goriparti.nagaraju@bajajfinserv.in</t>
  </si>
  <si>
    <t xml:space="preserve">Jangareddygudem</t>
  </si>
  <si>
    <t xml:space="preserve">APU2900025</t>
  </si>
  <si>
    <t xml:space="preserve">U29</t>
  </si>
  <si>
    <t xml:space="preserve">Bajaj finance Ltd,1St Floor, Vandanappu Venkateswara Complex, Above Icici Bank, Eluru Main Road, Jangareddygudem (Andhra Pradesh) 534447</t>
  </si>
  <si>
    <t xml:space="preserve">Myreddy Babu</t>
  </si>
  <si>
    <t xml:space="preserve">Mob-9701238963</t>
  </si>
  <si>
    <t xml:space="preserve">myreddi.babu@bajajfinserv.in</t>
  </si>
  <si>
    <t xml:space="preserve">U1</t>
  </si>
  <si>
    <t xml:space="preserve">Machilipatnam</t>
  </si>
  <si>
    <t xml:space="preserve">AP5L700010</t>
  </si>
  <si>
    <t xml:space="preserve">5L7</t>
  </si>
  <si>
    <t xml:space="preserve">Bajaj Finance Ltd, Sri Manikanta Classy, 1St Floor, D.No. 23-15 To 17, 'X' Roads, Ramanaidupet,Machilipatnam Ap.-521001</t>
  </si>
  <si>
    <t xml:space="preserve">Prem Kumar M</t>
  </si>
  <si>
    <t xml:space="preserve">Mob-9000689898</t>
  </si>
  <si>
    <t xml:space="preserve">premkumar.matte@bajajfinserv.in</t>
  </si>
  <si>
    <t xml:space="preserve">Tadepalligudem</t>
  </si>
  <si>
    <t xml:space="preserve">AP6I500040</t>
  </si>
  <si>
    <t xml:space="preserve">6I5</t>
  </si>
  <si>
    <t xml:space="preserve">Bajaj Finance Ltd, 2Nd Floor, 2-12-19, Kam Nursing Home Complex, Bandoru Vari Street, 26Th Ward, Railway Station Road, Tadepalligudem - 534101.</t>
  </si>
  <si>
    <t xml:space="preserve">Kulukuri Venkatesh Gupta</t>
  </si>
  <si>
    <t xml:space="preserve">Mob-8978830308</t>
  </si>
  <si>
    <t xml:space="preserve">kulukurivenkatesh.gupta@bajajfinserv.in</t>
  </si>
  <si>
    <t xml:space="preserve">Addanki</t>
  </si>
  <si>
    <t xml:space="preserve">Prakasam</t>
  </si>
  <si>
    <t xml:space="preserve">APX1900024</t>
  </si>
  <si>
    <t xml:space="preserve">X19</t>
  </si>
  <si>
    <t xml:space="preserve">Bajaj Finance Ltd., 2nd  floor, Above Indian Bank, GSR &amp; Sons Residency, NH-5, Guntur Chennai Highway, Addanki – 523201. Andhra Pradesh</t>
  </si>
  <si>
    <t xml:space="preserve">Pachari Teja</t>
  </si>
  <si>
    <t xml:space="preserve">Mob-9985253830</t>
  </si>
  <si>
    <t xml:space="preserve">saiteja.pachari@bajajfinserv.in</t>
  </si>
  <si>
    <t xml:space="preserve">Bariga Raghupathi</t>
  </si>
  <si>
    <t xml:space="preserve">Mob-8096553445</t>
  </si>
  <si>
    <t xml:space="preserve">golu.srinivasarao@bajajfinserv.in</t>
  </si>
  <si>
    <t xml:space="preserve">R13</t>
  </si>
  <si>
    <t xml:space="preserve">Adoni</t>
  </si>
  <si>
    <t xml:space="preserve">Kurnool</t>
  </si>
  <si>
    <t xml:space="preserve">AP4J400024</t>
  </si>
  <si>
    <t xml:space="preserve">4J4</t>
  </si>
  <si>
    <t xml:space="preserve">Bajaj Finance Ltd., D No.21/143/70/B, 1st   Floor, Usman Plaza, Opp. Royal Function Hall, SKD Colony, Adoni – 518301. Andhra Pradesh</t>
  </si>
  <si>
    <t xml:space="preserve">Kolimi shaik yunus K</t>
  </si>
  <si>
    <t xml:space="preserve">Mob-8500652340</t>
  </si>
  <si>
    <t xml:space="preserve">kolimishaikyunus.k@bajajfinserv.in</t>
  </si>
  <si>
    <t xml:space="preserve">R8</t>
  </si>
  <si>
    <t xml:space="preserve">Allagadda</t>
  </si>
  <si>
    <t xml:space="preserve">AP17V00017</t>
  </si>
  <si>
    <t xml:space="preserve">17V</t>
  </si>
  <si>
    <t xml:space="preserve">Bajaj Finance Ltd, Srini Heights,Karanja Complex, Opp :- Market TB Road , Allagadda-518543. Andhra Pradesh</t>
  </si>
  <si>
    <t xml:space="preserve">Pullagura Viswanath</t>
  </si>
  <si>
    <t xml:space="preserve">Mob-8297849010</t>
  </si>
  <si>
    <t xml:space="preserve">pullagura.viswanath@bajajfinserv.in</t>
  </si>
  <si>
    <t xml:space="preserve">R23</t>
  </si>
  <si>
    <t xml:space="preserve">Amaravati</t>
  </si>
  <si>
    <t xml:space="preserve">Guntur</t>
  </si>
  <si>
    <t xml:space="preserve">APV8100019</t>
  </si>
  <si>
    <t xml:space="preserve">V81</t>
  </si>
  <si>
    <t xml:space="preserve">Bajaj Finance Ltd, 2nd Floor, Vasavi Complex, Opp. Bsnl Office Main Road,
Amaravathi, Guntur Dt., Andhra Pradesh-522020. Mobile: +91 9494648977.</t>
  </si>
  <si>
    <t xml:space="preserve">Yadlapalli Sivaji</t>
  </si>
  <si>
    <t xml:space="preserve">Mob-9390478186</t>
  </si>
  <si>
    <t xml:space="preserve">yadlapalli.sivaji@bajajfinserv.in</t>
  </si>
  <si>
    <t xml:space="preserve">U4-B</t>
  </si>
  <si>
    <t xml:space="preserve">Chilakaluripet</t>
  </si>
  <si>
    <t xml:space="preserve">AP7B500028</t>
  </si>
  <si>
    <t xml:space="preserve">7B5</t>
  </si>
  <si>
    <t xml:space="preserve">Bajaj Finance Ltd, 1st Floor, D.No:5-785/1, Thota Barthdu Complex, Gt Road, Narsarao Peta Center, Chilakaluripeta-  522616</t>
  </si>
  <si>
    <t xml:space="preserve">Shaik abdul sattar S</t>
  </si>
  <si>
    <t xml:space="preserve">Mob-9398353671</t>
  </si>
  <si>
    <t xml:space="preserve">shaikabdulsattar.s@bajajfinserv.in</t>
  </si>
  <si>
    <t xml:space="preserve">Chirala</t>
  </si>
  <si>
    <t xml:space="preserve">AP6R900039</t>
  </si>
  <si>
    <t xml:space="preserve">6R9</t>
  </si>
  <si>
    <t xml:space="preserve">Bajaj Finance Ltd, 1st floor, Door No: 14-21-85, Dharbav Road,Opp. State Bank Of India, Chirala Pin : 523155</t>
  </si>
  <si>
    <t xml:space="preserve">Gollaprolu Gopiraju Yadav</t>
  </si>
  <si>
    <t xml:space="preserve">Mob-8019830631</t>
  </si>
  <si>
    <t xml:space="preserve">gopiraju.yadav@bajajfinserv.in</t>
  </si>
  <si>
    <t xml:space="preserve">Gannavaram</t>
  </si>
  <si>
    <t xml:space="preserve">APY0300002</t>
  </si>
  <si>
    <t xml:space="preserve">Y03</t>
  </si>
  <si>
    <t xml:space="preserve">Bajaj Finance Ltd, 1St Floor, Chimakurthy Commercial Complex, 1-193,  Gnt Road, Nh 5, Gannaram - 521101</t>
  </si>
  <si>
    <t xml:space="preserve">Khuresh Ahmed  Basha Shaik</t>
  </si>
  <si>
    <t xml:space="preserve">Mob-7207888448</t>
  </si>
  <si>
    <t xml:space="preserve">khuresh.shaik@bajajfinserv.in</t>
  </si>
  <si>
    <t xml:space="preserve">No Separate Pantry &amp; No Pantry Table</t>
  </si>
  <si>
    <t xml:space="preserve">U7-B</t>
  </si>
  <si>
    <t xml:space="preserve">Giddalur</t>
  </si>
  <si>
    <t xml:space="preserve">APU3500020</t>
  </si>
  <si>
    <t xml:space="preserve">U35</t>
  </si>
  <si>
    <t xml:space="preserve">Bajaj Finance Ltd., D.No.3-7-86, 1st  Floor, Above Syndicate Bank,  Lakshminarayan Nilayam, Jatharlakatta veedhi, Giddalur – 523357. Andhra Pradesh</t>
  </si>
  <si>
    <t xml:space="preserve">Dastagiri Pothuganti</t>
  </si>
  <si>
    <t xml:space="preserve">Mob-8555899160</t>
  </si>
  <si>
    <t xml:space="preserve">dastagiri.pothuganti@bajajfinserv.in</t>
  </si>
  <si>
    <t xml:space="preserve">R11</t>
  </si>
  <si>
    <t xml:space="preserve">AP44300087</t>
  </si>
  <si>
    <t xml:space="preserve">Bajaj finance Ltd, D.No : 5-25-92, Prasad Nilayam , 2nd floor, 3/ 7 lane, Brodipet, GUNTUR - 522002</t>
  </si>
  <si>
    <t xml:space="preserve">Arumalla GopiKrishna</t>
  </si>
  <si>
    <t xml:space="preserve">Mob-9848480809</t>
  </si>
  <si>
    <t xml:space="preserve">arumalla.gopirishna@bajajfinserv.in</t>
  </si>
  <si>
    <t xml:space="preserve">Guntur Additional</t>
  </si>
  <si>
    <t xml:space="preserve">443B1</t>
  </si>
  <si>
    <t xml:space="preserve">Bajaj Finance Ltd, 2nd Floor, LMB Plaza, Dr No – 12-25-55, T S No - 530 &amp; 531, Old Ward No – 5, Block No – 5, Opposite Metro Theater, Kothapet Main Road, Guntur – 522001</t>
  </si>
  <si>
    <t xml:space="preserve">Subash Manikanta</t>
  </si>
  <si>
    <t xml:space="preserve">Mob-8096552468</t>
  </si>
  <si>
    <t xml:space="preserve">pasupuleti.manikanta2@bizsupporta.com</t>
  </si>
  <si>
    <t xml:space="preserve">Hanuman Junction</t>
  </si>
  <si>
    <t xml:space="preserve">APHY300001</t>
  </si>
  <si>
    <t xml:space="preserve">HY3</t>
  </si>
  <si>
    <t xml:space="preserve">Bajaj finance Ltd, Door No.6-59,  Old No.4-112, Above Trends, Vijaywada Road, Bapulapadu, Hanumanjunction-521105</t>
  </si>
  <si>
    <t xml:space="preserve">Basava Manohar Krishna Sai</t>
  </si>
  <si>
    <t xml:space="preserve">Mob- 8688303029</t>
  </si>
  <si>
    <t xml:space="preserve">basava.krishnasai@bajajfinserv.in</t>
  </si>
  <si>
    <t xml:space="preserve">R28</t>
  </si>
  <si>
    <t xml:space="preserve">Jaggayyapeta</t>
  </si>
  <si>
    <t xml:space="preserve">AP6I200010</t>
  </si>
  <si>
    <t xml:space="preserve">6I2</t>
  </si>
  <si>
    <t xml:space="preserve">Bajaj Finance Limited., 1st Floor, Above Sai Furniture, Parimala Complex, Opp Andhra Bank, Hydrabad Road, Jaggayyapet - 521175. Andhra Pradesh</t>
  </si>
  <si>
    <t xml:space="preserve">Naresh Pendyala</t>
  </si>
  <si>
    <t xml:space="preserve">Mob-9885257901</t>
  </si>
  <si>
    <t xml:space="preserve">naresh.pendyala@bajajfinserv.in</t>
  </si>
  <si>
    <t xml:space="preserve">R12</t>
  </si>
  <si>
    <t xml:space="preserve">Kondapalli</t>
  </si>
  <si>
    <t xml:space="preserve">APY0400003</t>
  </si>
  <si>
    <t xml:space="preserve">Y04</t>
  </si>
  <si>
    <t xml:space="preserve">Bajaj finance Ltd, 2nd Floor, Near St.Anns Hospital, 2-86, Main Road, Kondapalli - 521228</t>
  </si>
  <si>
    <t xml:space="preserve">Satish Babu K</t>
  </si>
  <si>
    <t xml:space="preserve">Mob-9059095941</t>
  </si>
  <si>
    <t xml:space="preserve">satish.babu@bajajfinserv.in</t>
  </si>
  <si>
    <t xml:space="preserve">AP48200072</t>
  </si>
  <si>
    <t xml:space="preserve">Bajaj finance Ltd, 2nd Floor, 40-29-1-c, SP Square, Park Road, Malabar Gold Shop, Kurnool 518001</t>
  </si>
  <si>
    <t xml:space="preserve">Shaik Moulali Basha</t>
  </si>
  <si>
    <t xml:space="preserve">Mob-8019922919</t>
  </si>
  <si>
    <t xml:space="preserve">shaik.basha32@bizsupporta.com</t>
  </si>
  <si>
    <t xml:space="preserve">Mangalagiri</t>
  </si>
  <si>
    <t xml:space="preserve">APY0500020</t>
  </si>
  <si>
    <t xml:space="preserve">Y05</t>
  </si>
  <si>
    <t xml:space="preserve">Bajaj Finance Limited, Door No.8-711, Near Husen Katta, Above Punjab National Bank, Old Mangalagiri, Pin code 522503</t>
  </si>
  <si>
    <t xml:space="preserve">Vijaya Rayappa</t>
  </si>
  <si>
    <t xml:space="preserve">Mob-9848921315</t>
  </si>
  <si>
    <t xml:space="preserve">vijaya.rayappa@bajajfinserv.in</t>
  </si>
  <si>
    <t xml:space="preserve">NX5</t>
  </si>
  <si>
    <t xml:space="preserve">Markapur</t>
  </si>
  <si>
    <t xml:space="preserve">APW0300024</t>
  </si>
  <si>
    <t xml:space="preserve">W03</t>
  </si>
  <si>
    <t xml:space="preserve">Bajaj Finance Ltd., D.NO:7/486-489, 1st   Floor, Devireddy Complex, Above Bank of India, Nehru Street, Markapur – 523316. Andhra Pradesh</t>
  </si>
  <si>
    <t xml:space="preserve">Sammeta Hemanth</t>
  </si>
  <si>
    <t xml:space="preserve">Mob-7416537416</t>
  </si>
  <si>
    <t xml:space="preserve">sammeta.hemanth@bajajfinserv.in</t>
  </si>
  <si>
    <t xml:space="preserve">Nandikotkur</t>
  </si>
  <si>
    <t xml:space="preserve">AP79U00018</t>
  </si>
  <si>
    <t xml:space="preserve">79U</t>
  </si>
  <si>
    <t xml:space="preserve">Bajaj Finance Ltd, 1st Floor, Shop.no:-4-28,Rabbani Complex KG Road,Near RTC Bus Stand,Main Road,Nandikotkur Andhra Pradesh-508401</t>
  </si>
  <si>
    <t xml:space="preserve">Kandukuri Durga Prasad</t>
  </si>
  <si>
    <t xml:space="preserve">Mob-7013728936</t>
  </si>
  <si>
    <t xml:space="preserve">kandukuri.d@bajajfinserv.in</t>
  </si>
  <si>
    <t xml:space="preserve">Nandyal</t>
  </si>
  <si>
    <t xml:space="preserve">AP4J500039</t>
  </si>
  <si>
    <t xml:space="preserve">4J5</t>
  </si>
  <si>
    <t xml:space="preserve">Bajaj Finance Ltd, 1st Floor, #Plot No- 402, Padmavathi Nagar, Main Road, Nandyal-518501</t>
  </si>
  <si>
    <t xml:space="preserve">Dara  nagaraju</t>
  </si>
  <si>
    <t xml:space="preserve">Mob-9493251591</t>
  </si>
  <si>
    <t xml:space="preserve">dara.nagaraju@bajajfinserv.in</t>
  </si>
  <si>
    <t xml:space="preserve">Narasaraopet</t>
  </si>
  <si>
    <t xml:space="preserve">Palnadu</t>
  </si>
  <si>
    <t xml:space="preserve">AP6W700040</t>
  </si>
  <si>
    <t xml:space="preserve">6W7</t>
  </si>
  <si>
    <t xml:space="preserve">Bajaj Finance Limited, Dno: 9-1-73, Old Ward No-4, New Ward No-5, Old Survey No-423, TS No-1632, Gangula Edukondala Reddy Complex. Railway Station Road, Narasaraopet, Pin-522601</t>
  </si>
  <si>
    <t xml:space="preserve">Pattan Nazeer</t>
  </si>
  <si>
    <t xml:space="preserve">Mob-7306888007</t>
  </si>
  <si>
    <t xml:space="preserve">pattan.nazeer@bajajfinserv.in</t>
  </si>
  <si>
    <t xml:space="preserve">Nuziveedu</t>
  </si>
  <si>
    <t xml:space="preserve">APU3300010</t>
  </si>
  <si>
    <t xml:space="preserve">U33</t>
  </si>
  <si>
    <t xml:space="preserve">Bajaj Finance Limited., 1st Floor, Basu Complex, NO.20/164, Pedda Gandhi, Bomma Center, Tirvur Road, Opp Axis Bank, Nuzividu – 521201. Andhra Pradesh</t>
  </si>
  <si>
    <t xml:space="preserve">Naveen kumar</t>
  </si>
  <si>
    <t xml:space="preserve">Mob-9000114290</t>
  </si>
  <si>
    <t xml:space="preserve">naveenkumar.anagani@bajajfinserv.in</t>
  </si>
  <si>
    <t xml:space="preserve">Piduguralla</t>
  </si>
  <si>
    <t xml:space="preserve">APT5900028</t>
  </si>
  <si>
    <t xml:space="preserve">T59</t>
  </si>
  <si>
    <t xml:space="preserve">Bajaj Finance Ltd, D.No.7-407/1, 1st  Floor, Above Axis Bank, Near Anji Reddy Hospital, Main Road, Piduguralla - 522413. Andhra Pradesh</t>
  </si>
  <si>
    <t xml:space="preserve">Shaik Mohammad Haneefa</t>
  </si>
  <si>
    <t xml:space="preserve">Mob-8897843042</t>
  </si>
  <si>
    <t xml:space="preserve">shaikmohammad.haneefa@bajajfinserv.in</t>
  </si>
  <si>
    <t xml:space="preserve">R10</t>
  </si>
  <si>
    <t xml:space="preserve">Ponnur</t>
  </si>
  <si>
    <t xml:space="preserve">APU3100024</t>
  </si>
  <si>
    <t xml:space="preserve">U31</t>
  </si>
  <si>
    <t xml:space="preserve">Bajaj Finance Ltd, 1st Floor, Door No: 15-194, Opp Andhra Bank, G B C Road, Ponnur (Andhra Pradesh) 522124</t>
  </si>
  <si>
    <t xml:space="preserve">Shaik Abdul Khadar</t>
  </si>
  <si>
    <t xml:space="preserve">Mob-9160824261</t>
  </si>
  <si>
    <t xml:space="preserve">shaik.khadar@bajajfinserv.in</t>
  </si>
  <si>
    <t xml:space="preserve">Repalle</t>
  </si>
  <si>
    <t xml:space="preserve">AP6F900028</t>
  </si>
  <si>
    <t xml:space="preserve">6F9</t>
  </si>
  <si>
    <t xml:space="preserve">Bajaj Finance Ltd, 2nd  Floor, Raghava Nilayam, Above Bank of Baroda, No.5977, Main Road, Railpet, Repalle – 522265. Andhra Pradesh</t>
  </si>
  <si>
    <t xml:space="preserve">P Surendra Babu</t>
  </si>
  <si>
    <t xml:space="preserve">Mob-8686844234</t>
  </si>
  <si>
    <t xml:space="preserve">psurendra.babu@bajajfinserv.in</t>
  </si>
  <si>
    <t xml:space="preserve">Vijayawada Additional 1St Floor</t>
  </si>
  <si>
    <t xml:space="preserve">AP40900041</t>
  </si>
  <si>
    <t xml:space="preserve">Bajaj Finance Ltd, Door No: 15A-16-1/7, 1st Floor, KKR ICON, Opposite Union Bank Of India, Main Road, Gurunanak Colony, Vijayawada –520 008</t>
  </si>
  <si>
    <t xml:space="preserve">Edenaga Kanaka Siva Sai</t>
  </si>
  <si>
    <t xml:space="preserve">Mob-7569163016</t>
  </si>
  <si>
    <t xml:space="preserve">edenaga.sai@bizsupporta.com</t>
  </si>
  <si>
    <t xml:space="preserve">Vijayawada Additional 2Nd Floor</t>
  </si>
  <si>
    <t xml:space="preserve">409B</t>
  </si>
  <si>
    <t xml:space="preserve">Bajaj Finance Ltd, Door No: 15A-16-1/7, 2nd Floor, KKR ICON, Opposite Union Bank Of India, Main Road, Gurunanak Colony, Vijayawada –520 008</t>
  </si>
  <si>
    <t xml:space="preserve">Vijayawada Additional 5Th Floor</t>
  </si>
  <si>
    <t xml:space="preserve">-</t>
  </si>
  <si>
    <t xml:space="preserve">5th Floor</t>
  </si>
  <si>
    <t xml:space="preserve">Bajaj Finance Ltd, Door No: 15A-16-1/7,5th Floors, KKR ICON, Opposite Union Bank Of India, Main Road, Gurunanak Colony, Vijayawada –520 008</t>
  </si>
  <si>
    <t xml:space="preserve">Vijayawada AF</t>
  </si>
  <si>
    <t xml:space="preserve">Bajaj Auto</t>
  </si>
  <si>
    <t xml:space="preserve">AP32900001</t>
  </si>
  <si>
    <t xml:space="preserve">QT7V</t>
  </si>
  <si>
    <t xml:space="preserve">Bajaj Finance Ltd (AF Verticle ) D No. 40-5-11, Tikkle road, Rajkamal Towers, Vijayawada-520010</t>
  </si>
  <si>
    <t xml:space="preserve">Srinivas Rao</t>
  </si>
  <si>
    <t xml:space="preserve">Mob-9346113493</t>
  </si>
  <si>
    <t xml:space="preserve">srinivas.rao100@bajajfinserv.in</t>
  </si>
  <si>
    <t xml:space="preserve">AF</t>
  </si>
  <si>
    <t xml:space="preserve">Vijayawada CSB</t>
  </si>
  <si>
    <t xml:space="preserve">Bajaj Finance Ltd, 2Nd Floor, Door No. 32-9-17, Madhu Mahalaxmi Chembers, Near Jammichettu Centre, Mogalrajpuram, Vijayawada - 520010</t>
  </si>
  <si>
    <t xml:space="preserve">Ravi Kumar N</t>
  </si>
  <si>
    <t xml:space="preserve">Mob-9866512143</t>
  </si>
  <si>
    <t xml:space="preserve">ravi.nemalikanti@bajajfinserv.in</t>
  </si>
  <si>
    <t xml:space="preserve">CSB</t>
  </si>
  <si>
    <t xml:space="preserve">Vijayawada GH 1</t>
  </si>
  <si>
    <t xml:space="preserve">Guest House</t>
  </si>
  <si>
    <t xml:space="preserve">AP40900121</t>
  </si>
  <si>
    <t xml:space="preserve">1-5 Floors</t>
  </si>
  <si>
    <t xml:space="preserve">Bajaj Finance Ltd, Satya Krishna Bhavan, D No : 52-1-8-13,NTR Colony, Veterinary colony, Oposite loyola college, Vijayawada -520008</t>
  </si>
  <si>
    <t xml:space="preserve">Sandhya Rani</t>
  </si>
  <si>
    <t xml:space="preserve">Mob-7995948897</t>
  </si>
  <si>
    <t xml:space="preserve">sandhyarani.cheruku@bizsupporta.com</t>
  </si>
  <si>
    <t xml:space="preserve">RTC_GH</t>
  </si>
  <si>
    <t xml:space="preserve">Vijayawada GH 2</t>
  </si>
  <si>
    <t xml:space="preserve">Bajaj Finance Ltd, Kashambhari enclave, D No : 54-15-5,Gurunank Nagar, vetenary colony Vijayawada -520008</t>
  </si>
  <si>
    <t xml:space="preserve">Vijayawada Rtc</t>
  </si>
  <si>
    <t xml:space="preserve">Regional Training centre </t>
  </si>
  <si>
    <t xml:space="preserve">RTC</t>
  </si>
  <si>
    <t xml:space="preserve">Bajaj Fiaance Ltd, D No : 52-1/8-11, Plot No 8&amp;9, 3rd Floor, NTR Colony, ESI 100 Feet Road, Vijayawada -520008</t>
  </si>
  <si>
    <t xml:space="preserve">Yemmiganur</t>
  </si>
  <si>
    <t xml:space="preserve">AP6Q000017</t>
  </si>
  <si>
    <t xml:space="preserve">6Q0</t>
  </si>
  <si>
    <t xml:space="preserve">Bajaj Finance Limited., D No - 1/1543, 1st  Floor,Opp.RTC Bus Stand,Gandhi Nagar,Yemmiganur,Kurnool Dist., Andhra Pradesh – 518360. Andhra Pradesh</t>
  </si>
  <si>
    <t xml:space="preserve">Sugali Jayaramnaik</t>
  </si>
  <si>
    <t xml:space="preserve">Mob-8096875033</t>
  </si>
  <si>
    <t xml:space="preserve">jayaramnaik.s@bajajfinserv.in</t>
  </si>
  <si>
    <t xml:space="preserve">R13-B</t>
  </si>
  <si>
    <t xml:space="preserve">Anantapur</t>
  </si>
  <si>
    <t xml:space="preserve">Anantpur</t>
  </si>
  <si>
    <t xml:space="preserve">AP56700072</t>
  </si>
  <si>
    <t xml:space="preserve">D No 12-4-66, Plot No 101, 1st Floor, S V Towers, 1st Floor , 80 Feet Road, Vidyut Nagar, Anantapur, 515004</t>
  </si>
  <si>
    <t xml:space="preserve">Pandla Munirathnam</t>
  </si>
  <si>
    <t xml:space="preserve">Mob-7981382540</t>
  </si>
  <si>
    <t xml:space="preserve">pandla.munirathnam@bajajfinserv.in</t>
  </si>
  <si>
    <t xml:space="preserve">Rajesh Yelakuntla</t>
  </si>
  <si>
    <t xml:space="preserve">Mob-9550617173</t>
  </si>
  <si>
    <t xml:space="preserve">y.rajesh@bizsupporta.com</t>
  </si>
  <si>
    <t xml:space="preserve">Chittoor</t>
  </si>
  <si>
    <t xml:space="preserve">AP57200056</t>
  </si>
  <si>
    <t xml:space="preserve">D.No: 8-341/3, 1st Floor, Chilumkuri Pride Towers, Gandhi Road, Chittoor-517001</t>
  </si>
  <si>
    <t xml:space="preserve">L Praveen</t>
  </si>
  <si>
    <t xml:space="preserve">Mob-8125920813</t>
  </si>
  <si>
    <t xml:space="preserve">l.praveen@bajajfinserv.in</t>
  </si>
  <si>
    <t xml:space="preserve">U-Old Branch </t>
  </si>
  <si>
    <t xml:space="preserve">Dharmavaram</t>
  </si>
  <si>
    <t xml:space="preserve">Sri Sathya Sai</t>
  </si>
  <si>
    <t xml:space="preserve">AP6Z700025</t>
  </si>
  <si>
    <t xml:space="preserve">6Z7</t>
  </si>
  <si>
    <t xml:space="preserve">Bajaj Finance Ltd., D.No:23/195-197, 1st  Floor, Sai Nagar, Vaibhav Complex, Opp Indian Overseas Bank,  Near R T C Bus Stand, Dharmavaram – 515671. Andhra Pradesh</t>
  </si>
  <si>
    <t xml:space="preserve">Firdos Kumidikuntla</t>
  </si>
  <si>
    <t xml:space="preserve">Mob-8886862994</t>
  </si>
  <si>
    <t xml:space="preserve">firdos.komidikuntla@bajajfinserv.in</t>
  </si>
  <si>
    <t xml:space="preserve">Gudur</t>
  </si>
  <si>
    <t xml:space="preserve">Nellore</t>
  </si>
  <si>
    <t xml:space="preserve">Spsr Nellore</t>
  </si>
  <si>
    <t xml:space="preserve">AP5N700031</t>
  </si>
  <si>
    <t xml:space="preserve">5N7</t>
  </si>
  <si>
    <t xml:space="preserve">Bajaj Finance Ltd.,  D.No.10/12,Ground floor, Om Sai Building, ZP High School Road, Beside Navatha Transport, Gudur – 524101. Andhra Pradesh</t>
  </si>
  <si>
    <t xml:space="preserve">K Sindura</t>
  </si>
  <si>
    <t xml:space="preserve">Mob-8179357496</t>
  </si>
  <si>
    <t xml:space="preserve">sindhura.kumpati@bajajfinserv.in</t>
  </si>
  <si>
    <t xml:space="preserve">R9</t>
  </si>
  <si>
    <t xml:space="preserve">Guntakal</t>
  </si>
  <si>
    <t xml:space="preserve">AP6Q100028</t>
  </si>
  <si>
    <t xml:space="preserve">6Q1</t>
  </si>
  <si>
    <t xml:space="preserve">Bajaj Finance Ltd., , 16/130B, 1st  Floor,Above ICICI Bank, SLV Talkies Road, Guntakal - 515 801. Andhra Pradesh</t>
  </si>
  <si>
    <t xml:space="preserve">Jinday Somasekhar</t>
  </si>
  <si>
    <t xml:space="preserve">Mob-9491451454</t>
  </si>
  <si>
    <t xml:space="preserve">jinday.somasekhar@bajajfinserv.in</t>
  </si>
  <si>
    <t xml:space="preserve">Hindupur</t>
  </si>
  <si>
    <t xml:space="preserve">AP4J600030</t>
  </si>
  <si>
    <t xml:space="preserve">4J6</t>
  </si>
  <si>
    <t xml:space="preserve">1st Floor, 18-143, M F Road, Opp. Karur Vysya Bank, Near Vijaya Bank, Hindupur – 515201</t>
  </si>
  <si>
    <t xml:space="preserve">Vinay Kumar</t>
  </si>
  <si>
    <t xml:space="preserve">Mob-7337496559</t>
  </si>
  <si>
    <t xml:space="preserve">vinay.kumar5@bajajfinserv.in</t>
  </si>
  <si>
    <t xml:space="preserve">U5</t>
  </si>
  <si>
    <t xml:space="preserve">Kadapa</t>
  </si>
  <si>
    <t xml:space="preserve">Cuddapah</t>
  </si>
  <si>
    <t xml:space="preserve">Y.S.R. Kadapa</t>
  </si>
  <si>
    <t xml:space="preserve">AP58300054</t>
  </si>
  <si>
    <t xml:space="preserve">2nd Floor, 42-112,113,114, Sai Arcade, Ngo’S Colony, Main Road, Kadapa-516002</t>
  </si>
  <si>
    <t xml:space="preserve">Madhavi Panduluru</t>
  </si>
  <si>
    <t xml:space="preserve">Mob-9398527046</t>
  </si>
  <si>
    <t xml:space="preserve">madhavi.panduluru@bajajfinserv.in</t>
  </si>
  <si>
    <t xml:space="preserve">Kadapa Additional</t>
  </si>
  <si>
    <t xml:space="preserve">AP58300012</t>
  </si>
  <si>
    <t xml:space="preserve">2nd Floor, Subba Reddy Complex, D.No -1/2446, APHB Colony, Kadapa – 516002</t>
  </si>
  <si>
    <t xml:space="preserve">Shaik Usman basha</t>
  </si>
  <si>
    <t xml:space="preserve">Mob-9642290058</t>
  </si>
  <si>
    <t xml:space="preserve">shaik.usmanbasha@bajajfinserv.in</t>
  </si>
  <si>
    <t xml:space="preserve">Kadiri</t>
  </si>
  <si>
    <t xml:space="preserve">AP7A000025</t>
  </si>
  <si>
    <t xml:space="preserve">7A0</t>
  </si>
  <si>
    <t xml:space="preserve">1st Floor, Above Karur Vysya Bank, Bypass Road, Lalitha Electronics, Near Vemareddy Circle, Kadiri, Andhra Pradesh - 515591</t>
  </si>
  <si>
    <t xml:space="preserve">Danda Lakshminarayana</t>
  </si>
  <si>
    <t xml:space="preserve">Mob-8008135169</t>
  </si>
  <si>
    <t xml:space="preserve">danda.lakshminarayana@bajajfinserv.in</t>
  </si>
  <si>
    <t xml:space="preserve">Kalyandurg</t>
  </si>
  <si>
    <t xml:space="preserve">AP27V00014</t>
  </si>
  <si>
    <t xml:space="preserve">27V</t>
  </si>
  <si>
    <t xml:space="preserve">Bajaj Finance Limited., 1st   Floor,sri sai complex,Beside Butna complex,Near RTC Bus Stand,Main Road, Kalyandurg,Ananthapuram, Andhra Pradesh-515761</t>
  </si>
  <si>
    <t xml:space="preserve">PULIKANTI  SURESH</t>
  </si>
  <si>
    <t xml:space="preserve">Mob-7799833697</t>
  </si>
  <si>
    <t xml:space="preserve">pulukanti.suresh@bajajfinserv.in</t>
  </si>
  <si>
    <t xml:space="preserve">Kuppam</t>
  </si>
  <si>
    <t xml:space="preserve">APHP100002</t>
  </si>
  <si>
    <t xml:space="preserve">HP1</t>
  </si>
  <si>
    <t xml:space="preserve">Bajaj Finance Limited, No-14-182, 2nd Floor, A.P. Vajarevel chetty street, Kuppam, Chittoor (Dt) AP</t>
  </si>
  <si>
    <t xml:space="preserve">PETA  MADDILETY</t>
  </si>
  <si>
    <t xml:space="preserve">Mob-8008089832</t>
  </si>
  <si>
    <t xml:space="preserve">peta.maddilety@bajajfinserv.in</t>
  </si>
  <si>
    <t xml:space="preserve">Non Ac</t>
  </si>
  <si>
    <t xml:space="preserve">Madanapalle</t>
  </si>
  <si>
    <t xml:space="preserve">Annamayya</t>
  </si>
  <si>
    <t xml:space="preserve">AP6Q800045</t>
  </si>
  <si>
    <t xml:space="preserve">6Q8</t>
  </si>
  <si>
    <t xml:space="preserve">2nd Floor, Vmc Height, #1-444-3, Bangalore Road, Madanapalli-517325</t>
  </si>
  <si>
    <t xml:space="preserve">K Sravankumar</t>
  </si>
  <si>
    <t xml:space="preserve">Mob-9848592264</t>
  </si>
  <si>
    <t xml:space="preserve">k.sravankumar@bajajfinserv.in</t>
  </si>
  <si>
    <t xml:space="preserve">Madanapalle Additional</t>
  </si>
  <si>
    <t xml:space="preserve">6Q8R</t>
  </si>
  <si>
    <t xml:space="preserve">D.No.2651D/2B, 1st Floor, Ward no - 16-623-2-1, Gandhi Road, Pungunur Road, Madanapalle, AP - 517325</t>
  </si>
  <si>
    <t xml:space="preserve">Naidupetta</t>
  </si>
  <si>
    <t xml:space="preserve">Tirupati</t>
  </si>
  <si>
    <t xml:space="preserve">APHP500002</t>
  </si>
  <si>
    <t xml:space="preserve">HP5</t>
  </si>
  <si>
    <t xml:space="preserve">Bajaj Finance Limited, 6-4-21/3,Lothuvanigunta-6, Naidupeta, AP - 524126</t>
  </si>
  <si>
    <t xml:space="preserve">Bandi Suresh </t>
  </si>
  <si>
    <t xml:space="preserve">Mob-9059070751</t>
  </si>
  <si>
    <t xml:space="preserve">bandi.suresh@bajajfinserv.in </t>
  </si>
  <si>
    <t xml:space="preserve">Palmaner</t>
  </si>
  <si>
    <t xml:space="preserve">APU3200024</t>
  </si>
  <si>
    <t xml:space="preserve">U32</t>
  </si>
  <si>
    <t xml:space="preserve">Bajaj Finance Ltd., 2nd  Floor, Sri Sai Balaji Complex, above Swagruha Foods, Javali Street, Palmaneru – 517408. Andhra Pradesh</t>
  </si>
  <si>
    <t xml:space="preserve">B Bhanukiran</t>
  </si>
  <si>
    <t xml:space="preserve">Mob-9703058288</t>
  </si>
  <si>
    <t xml:space="preserve">buttola.kiran@bajajfinserv.in</t>
  </si>
  <si>
    <t xml:space="preserve">Pileru</t>
  </si>
  <si>
    <t xml:space="preserve">AP6U900027</t>
  </si>
  <si>
    <t xml:space="preserve">6U9</t>
  </si>
  <si>
    <t xml:space="preserve">Bajaj Finance Ltd., D No.2/1805, 1st  Floor, Venkataramana Complex,  Near Kadapa Road, Pileru – 517214. Andhra Pradesh</t>
  </si>
  <si>
    <t xml:space="preserve">P Balakrishna</t>
  </si>
  <si>
    <t xml:space="preserve">Mob-8978461051</t>
  </si>
  <si>
    <t xml:space="preserve">pachipala.balakrishna@bajajfinserv.in</t>
  </si>
  <si>
    <t xml:space="preserve">Proddutur</t>
  </si>
  <si>
    <t xml:space="preserve">Proddatur</t>
  </si>
  <si>
    <t xml:space="preserve">AP6Y200027</t>
  </si>
  <si>
    <t xml:space="preserve">6Y2</t>
  </si>
  <si>
    <t xml:space="preserve">Bajaj Finance Ltd, GSR Complex, # 9/646/2/3/4, Survey No 548/1A,552, Sunnapubatti Veedhi, 9th ward, Proddatur, YSR Mydukur Raod, Proddatur -516362</t>
  </si>
  <si>
    <t xml:space="preserve">Battala Ravi Chandra</t>
  </si>
  <si>
    <t xml:space="preserve">Mob-8790726870</t>
  </si>
  <si>
    <t xml:space="preserve">battala.chandra@bajajfinserv.in</t>
  </si>
  <si>
    <t xml:space="preserve">Pulivendula</t>
  </si>
  <si>
    <t xml:space="preserve">Pulivendla</t>
  </si>
  <si>
    <t xml:space="preserve">APHO800001</t>
  </si>
  <si>
    <t xml:space="preserve">HO8</t>
  </si>
  <si>
    <t xml:space="preserve">Bajaj Finance Limited, Ward no 1, Survey no.444 opposite of thilak mobile,Mail road, Pulivendula, YSR (Kadapa) - 516390, </t>
  </si>
  <si>
    <t xml:space="preserve">Rage Parasuramudu</t>
  </si>
  <si>
    <t xml:space="preserve">Mob-9573439048</t>
  </si>
  <si>
    <t xml:space="preserve">rage.parasuramudu@bajajfinserv.in</t>
  </si>
  <si>
    <t xml:space="preserve">Railway Koduru</t>
  </si>
  <si>
    <t xml:space="preserve">APW0400022</t>
  </si>
  <si>
    <t xml:space="preserve">W04</t>
  </si>
  <si>
    <t xml:space="preserve">1st Floor, CVSR Complex, Railway Koduru, Kadapa, Andhra Pradesh - 516101</t>
  </si>
  <si>
    <t xml:space="preserve">Kunchapu Nagendra Babu</t>
  </si>
  <si>
    <t xml:space="preserve">Mob-9959059188</t>
  </si>
  <si>
    <t xml:space="preserve">kunchapu.babu@bajajfinserv.in</t>
  </si>
  <si>
    <t xml:space="preserve">Rajampet</t>
  </si>
  <si>
    <t xml:space="preserve">APT6600026</t>
  </si>
  <si>
    <t xml:space="preserve">T66</t>
  </si>
  <si>
    <t xml:space="preserve">2nd Floor, # 6/987-A-2, A B Narsamma Bhavanam, Above Andhra Bank, RS Road, Razampet (Andhra Pradesh) 516115</t>
  </si>
  <si>
    <t xml:space="preserve">SHAIK MOHAMMED   ARIEF</t>
  </si>
  <si>
    <t xml:space="preserve">Mob-7731011709</t>
  </si>
  <si>
    <t xml:space="preserve">shaikmohammed.a@bajajfinserv.in</t>
  </si>
  <si>
    <t xml:space="preserve">Rayachoti</t>
  </si>
  <si>
    <t xml:space="preserve">AP6Y300024</t>
  </si>
  <si>
    <t xml:space="preserve">6Y3</t>
  </si>
  <si>
    <t xml:space="preserve">Bajaj Finance Ltd.,D No 24/127, 1st  Floor, Above Hdfc Bank, Alinabad Street, Rajampet Road, Rayachoti – 516269. Andhra Pradesh</t>
  </si>
  <si>
    <t xml:space="preserve">Vodiveti Basireddy</t>
  </si>
  <si>
    <t xml:space="preserve">Mob-9966600782</t>
  </si>
  <si>
    <t xml:space="preserve">vodiveti.basireddy@bajajfinserv.in</t>
  </si>
  <si>
    <t xml:space="preserve">Rayadurg</t>
  </si>
  <si>
    <t xml:space="preserve">APHO900002</t>
  </si>
  <si>
    <t xml:space="preserve">12187</t>
  </si>
  <si>
    <t xml:space="preserve">HO9</t>
  </si>
  <si>
    <t xml:space="preserve">Bajaj Finance Limited H No 8-2-212 Near Vannuru Swamy Katta, Bellari Road, Rayadurg Town, Anantapuram Dist, Andhra Pradesh-515865.</t>
  </si>
  <si>
    <t xml:space="preserve">Sarode Chandrashekar</t>
  </si>
  <si>
    <t xml:space="preserve">Mob-6305262009</t>
  </si>
  <si>
    <t xml:space="preserve">sarode.chandrashekar@bajajfinserv.in</t>
  </si>
  <si>
    <t xml:space="preserve">Srikalahasti</t>
  </si>
  <si>
    <t xml:space="preserve">APX9600026</t>
  </si>
  <si>
    <t xml:space="preserve">X96</t>
  </si>
  <si>
    <t xml:space="preserve">1st Floor, Above Indian Overseas Bank, 7-242, Kothapeta, Near Old Busstand, Sri Kalahasti - 517644 AP</t>
  </si>
  <si>
    <t xml:space="preserve">Konasamudram Rajesh</t>
  </si>
  <si>
    <t xml:space="preserve">Mob-6302454345</t>
  </si>
  <si>
    <t xml:space="preserve">konasamudram.rajesh@bajajfinserv.in</t>
  </si>
  <si>
    <t xml:space="preserve">U7</t>
  </si>
  <si>
    <t xml:space="preserve">Sullurpeta</t>
  </si>
  <si>
    <t xml:space="preserve">APT4700026</t>
  </si>
  <si>
    <t xml:space="preserve">T47</t>
  </si>
  <si>
    <t xml:space="preserve">Bajaj Finance Ltd., 1st  Floor, Above Sreevari Furniture, GNT Road. Opp. Chaitanya School Sullurpeta – 524121. Andhra Pradesh</t>
  </si>
  <si>
    <t xml:space="preserve">Salu Gandhi</t>
  </si>
  <si>
    <t xml:space="preserve">Mob-9515419343</t>
  </si>
  <si>
    <t xml:space="preserve">salu.gandhi@bajajfinserv.in</t>
  </si>
  <si>
    <t xml:space="preserve">Tadipatri</t>
  </si>
  <si>
    <t xml:space="preserve">AP6F500028</t>
  </si>
  <si>
    <t xml:space="preserve">6F5</t>
  </si>
  <si>
    <t xml:space="preserve">Bajaj Finance Ltd., 1st Floor Kanchani Complex, Opp. Kanchana Hospital, Above Life Care Scan Center, CB Road, Tadipatri - 515 411. Andhra Pradesh</t>
  </si>
  <si>
    <t xml:space="preserve">TALARI Dastagirappa</t>
  </si>
  <si>
    <t xml:space="preserve">Mob- 7013802896</t>
  </si>
  <si>
    <t xml:space="preserve">talaridastagirappa.t@bajajfinserv.in</t>
  </si>
  <si>
    <t xml:space="preserve">Tirupati 1st Floor</t>
  </si>
  <si>
    <t xml:space="preserve">AP44200097</t>
  </si>
  <si>
    <t xml:space="preserve">1st &amp; 2nd Floor, Pradeep Plaza, 23-8-153, New Balaji Colony, Air Bypass Road, Tirupati- 517501</t>
  </si>
  <si>
    <t xml:space="preserve">E Prem Kumar</t>
  </si>
  <si>
    <t xml:space="preserve">Mob-9494365993</t>
  </si>
  <si>
    <t xml:space="preserve">eprem.kumar@bizsupporta.com</t>
  </si>
  <si>
    <t xml:space="preserve">Tirupati 2nd Floor</t>
  </si>
  <si>
    <t xml:space="preserve">442B</t>
  </si>
  <si>
    <t xml:space="preserve">Venkatagiri</t>
  </si>
  <si>
    <t xml:space="preserve">APHP600002</t>
  </si>
  <si>
    <t xml:space="preserve">HP6</t>
  </si>
  <si>
    <t xml:space="preserve">Bajaj Finance Limited, 1st Floor, Tirupati Road Opp Subhas Hospital, Venkatagiri, Tirupati, AP Pin-524132</t>
  </si>
  <si>
    <t xml:space="preserve">P Amanullah</t>
  </si>
  <si>
    <t xml:space="preserve">Mob-9966246543</t>
  </si>
  <si>
    <t xml:space="preserve">pathan.amanullah@bajajfinserv.in</t>
  </si>
  <si>
    <t xml:space="preserve">Ongole</t>
  </si>
  <si>
    <t xml:space="preserve">AP56400012</t>
  </si>
  <si>
    <t xml:space="preserve">Bajaj finance Ltd, 1st Floor, 5-70, NGO Colony, 2nd Cross road, opp power office, Karnool Raod, Ongole -523001</t>
  </si>
  <si>
    <t xml:space="preserve">Vinod Kaki</t>
  </si>
  <si>
    <t xml:space="preserve">Mob-9553604740</t>
  </si>
  <si>
    <t xml:space="preserve">vinod.kaki@bajajfinserv.in</t>
  </si>
  <si>
    <t xml:space="preserve">Ongole Additioal</t>
  </si>
  <si>
    <t xml:space="preserve">564O</t>
  </si>
  <si>
    <t xml:space="preserve">Bajaj Finance Ltd, Door no 6-1-38/A1, P P Reddy complex, 2nd Floor, Rajapanagal road, ongole 523001,</t>
  </si>
  <si>
    <t xml:space="preserve">AP46800029</t>
  </si>
  <si>
    <t xml:space="preserve">Bajaj Finance Ltd,M C Arcade, 26-16-370 Mini Bypass road Kondayapalem, Nellore 524003</t>
  </si>
  <si>
    <t xml:space="preserve">Y Prasanna Kumar</t>
  </si>
  <si>
    <t xml:space="preserve">Mob-8050100300</t>
  </si>
  <si>
    <t xml:space="preserve">yedam.kumar@bizsupporta.com</t>
  </si>
  <si>
    <t xml:space="preserve">Nellore Additional</t>
  </si>
  <si>
    <t xml:space="preserve">468B</t>
  </si>
  <si>
    <t xml:space="preserve">Bajaj Finance Ltd,D no : 16-2-436, Mini Bypass Road, Minimum Substation, Nellore -524003</t>
  </si>
  <si>
    <t xml:space="preserve">Kavali</t>
  </si>
  <si>
    <t xml:space="preserve">AP6L600013</t>
  </si>
  <si>
    <t xml:space="preserve">6L6</t>
  </si>
  <si>
    <t xml:space="preserve">Bajaj Finance Ltd., 1st   Floor ,Above Orintal Bank Of Commerce, Trunk Road, Kavali – 524201. Andhra Pradesh</t>
  </si>
  <si>
    <t xml:space="preserve">Cherukuru Sivaiah</t>
  </si>
  <si>
    <t xml:space="preserve">Mob-7032221557</t>
  </si>
  <si>
    <t xml:space="preserve">cherukuru.sivaiah@bajajfinserv.in</t>
  </si>
  <si>
    <t xml:space="preserve">Kandakur</t>
  </si>
  <si>
    <t xml:space="preserve">APHP300002</t>
  </si>
  <si>
    <t xml:space="preserve">HP3</t>
  </si>
  <si>
    <t xml:space="preserve">Bajaj Finance Ltd,16-1-13, 1st Floor, Pamuru Rd, opp. CO-OPERATIVE BANK, Kota Reddy Nagar, Kandukur, AP</t>
  </si>
  <si>
    <t xml:space="preserve">T Praveen</t>
  </si>
  <si>
    <t xml:space="preserve">Mob-8179197920</t>
  </si>
  <si>
    <t xml:space="preserve">tatiparthi.praveen@bajajfinserv.in</t>
  </si>
  <si>
    <t xml:space="preserve">Tenali</t>
  </si>
  <si>
    <t xml:space="preserve">AP5L000043</t>
  </si>
  <si>
    <t xml:space="preserve">5L0</t>
  </si>
  <si>
    <t xml:space="preserve">Bajaj finance Ltd, 01st Floor, Srinivas Castel, Dno: 22-4-45, S N Park Road, Tenali-522201</t>
  </si>
  <si>
    <t xml:space="preserve">Jujjavarapu Ravi Teja</t>
  </si>
  <si>
    <t xml:space="preserve">Mob-9494648977</t>
  </si>
  <si>
    <t xml:space="preserve">jujjavarapu.raviteja@bajajfinserv.in</t>
  </si>
  <si>
    <t xml:space="preserve">Balod</t>
  </si>
  <si>
    <t xml:space="preserve">CT86C00019</t>
  </si>
  <si>
    <t xml:space="preserve">86C</t>
  </si>
  <si>
    <t xml:space="preserve">Bajaj Finance Limited, 1st Floor, Nahata Heights, Ganjpara Main Road, Balod - 491226 (CG)</t>
  </si>
  <si>
    <t xml:space="preserve">Ranjana Gupta</t>
  </si>
  <si>
    <t xml:space="preserve">Mob-9300012003</t>
  </si>
  <si>
    <t xml:space="preserve">ranjana.gupta@bajajfinserv.in</t>
  </si>
  <si>
    <t xml:space="preserve">Lakhan Burde</t>
  </si>
  <si>
    <t xml:space="preserve">Mob-8817389054</t>
  </si>
  <si>
    <t xml:space="preserve">lakhan.burde@bajajfinserv.in</t>
  </si>
  <si>
    <t xml:space="preserve">Bhatapara</t>
  </si>
  <si>
    <t xml:space="preserve">Baloda Bazar</t>
  </si>
  <si>
    <t xml:space="preserve">CTV9800024</t>
  </si>
  <si>
    <t xml:space="preserve">V98</t>
  </si>
  <si>
    <t xml:space="preserve">Bajaj Finance Limited, 1st Floor, Opp. City Garden Main Road Sadar Bazar Gandhi Mandir Bhatapara Dist. Baloda Bazar Cg.-493118</t>
  </si>
  <si>
    <t xml:space="preserve">Hitendra Dewangan</t>
  </si>
  <si>
    <t xml:space="preserve">Mob-8109998935</t>
  </si>
  <si>
    <t xml:space="preserve">hitendra.dewangan@bajajfinserv.in</t>
  </si>
  <si>
    <t xml:space="preserve">Action -1 (8 WS Created under Action-1</t>
  </si>
  <si>
    <t xml:space="preserve">Bhilai</t>
  </si>
  <si>
    <t xml:space="preserve">Durg</t>
  </si>
  <si>
    <t xml:space="preserve">CT43700071</t>
  </si>
  <si>
    <t xml:space="preserve">2nd Floor, Contractor Colony, Chandra Mourya Square, Supela, Bhilai (C.G) 490023</t>
  </si>
  <si>
    <t xml:space="preserve">Bhilai Additional</t>
  </si>
  <si>
    <t xml:space="preserve">Bijapur CH</t>
  </si>
  <si>
    <t xml:space="preserve">Bijapur Ch</t>
  </si>
  <si>
    <t xml:space="preserve">Bijapur</t>
  </si>
  <si>
    <t xml:space="preserve">CHHJ400001</t>
  </si>
  <si>
    <t xml:space="preserve">HJ4</t>
  </si>
  <si>
    <t xml:space="preserve">Bajaj Finance Limited 1st floor Near Bus Stand &amp; City Kotwali Thana Macheriya Chennur Hyderabad -Jagdalpur Road NH 63 Bijapur Chhattisgarh- 494444</t>
  </si>
  <si>
    <t xml:space="preserve">Tarun Fulmadri</t>
  </si>
  <si>
    <t xml:space="preserve">Mob-9399972822</t>
  </si>
  <si>
    <t xml:space="preserve">tarun.fulmadri@bajajfinserv.in</t>
  </si>
  <si>
    <t xml:space="preserve">Deobhog</t>
  </si>
  <si>
    <t xml:space="preserve">Gariaband</t>
  </si>
  <si>
    <t xml:space="preserve">Raipur</t>
  </si>
  <si>
    <t xml:space="preserve">CHHJ500001</t>
  </si>
  <si>
    <t xml:space="preserve">HJ5</t>
  </si>
  <si>
    <t xml:space="preserve">Bajaj Finance Limited Ground floor NH-130C Main road Near Rest House  Chhattisgarh Deobhog -493890</t>
  </si>
  <si>
    <t xml:space="preserve">Shivashish Behera</t>
  </si>
  <si>
    <t xml:space="preserve">Mob-9337851733</t>
  </si>
  <si>
    <t xml:space="preserve">shivashish.behera@bajajfinserv.in</t>
  </si>
  <si>
    <t xml:space="preserve">Dhamtari</t>
  </si>
  <si>
    <t xml:space="preserve">CTT3600026</t>
  </si>
  <si>
    <t xml:space="preserve">T36</t>
  </si>
  <si>
    <t xml:space="preserve">Bajaj Finance Limited, 1st Floor , Bomabay Garage Area, Above Axis Bank, Jagdalpur Road, Near Kothari Park, Itwari Bazar, Dhamtari, 493773</t>
  </si>
  <si>
    <t xml:space="preserve">Harish Pandey</t>
  </si>
  <si>
    <t xml:space="preserve">Mob-8358035101</t>
  </si>
  <si>
    <t xml:space="preserve">harish.pandey@bizsupporta.com</t>
  </si>
  <si>
    <t xml:space="preserve">Dhamtari- Additional</t>
  </si>
  <si>
    <t xml:space="preserve">T36B1</t>
  </si>
  <si>
    <t xml:space="preserve">Bajaj Finance Limited, 1st Floor Memon Manzil, Near Jana Finance Bank, Ratna Bandha Road, Dhamtari, Chhattiisgarh- 493773</t>
  </si>
  <si>
    <t xml:space="preserve">20.711964</t>
  </si>
  <si>
    <t xml:space="preserve">Dongargarh</t>
  </si>
  <si>
    <t xml:space="preserve">Rajnandgaon</t>
  </si>
  <si>
    <t xml:space="preserve">CT87C00022</t>
  </si>
  <si>
    <t xml:space="preserve">87C</t>
  </si>
  <si>
    <t xml:space="preserve">Bajaj Finance Limited, 1st Floor, Ganesh Bada Bhagat Singh Ward, Near Govt Boys School, Dongargarh - 491445 Dist - Rajnandgaon (Cg)</t>
  </si>
  <si>
    <t xml:space="preserve">Piyush Parmar</t>
  </si>
  <si>
    <t xml:space="preserve">Mob-7000603938</t>
  </si>
  <si>
    <t xml:space="preserve">piyush.parmar@bajajfinserv.in</t>
  </si>
  <si>
    <t xml:space="preserve">Jagdalpur</t>
  </si>
  <si>
    <t xml:space="preserve">Bastar</t>
  </si>
  <si>
    <t xml:space="preserve">CTU4500030</t>
  </si>
  <si>
    <t xml:space="preserve">U45</t>
  </si>
  <si>
    <t xml:space="preserve">1st Floor, Ashirwad Complex, Rautpara, B/H Lagoo Hospital, Agrasen Chowk, Jagdalpur(C.G)- 494001</t>
  </si>
  <si>
    <t xml:space="preserve">Shanu Singh</t>
  </si>
  <si>
    <t xml:space="preserve">Mob-9340052813</t>
  </si>
  <si>
    <t xml:space="preserve">shanu.singh2@bajajfinserv.in</t>
  </si>
  <si>
    <t xml:space="preserve">Khairagarh</t>
  </si>
  <si>
    <t xml:space="preserve">Khairgarh Chhuikhadan Gandai</t>
  </si>
  <si>
    <t xml:space="preserve">CT26E00020</t>
  </si>
  <si>
    <t xml:space="preserve">26E</t>
  </si>
  <si>
    <t xml:space="preserve">Bajaj Finance Limited, 1st Floor, Shulochana Tower, Itwari Bazar Main Road, State Highay 6, Khairagarh Dist-Rajnandgaon (Chhattisgarh) 491881</t>
  </si>
  <si>
    <t xml:space="preserve">Sunil Dewangan</t>
  </si>
  <si>
    <t xml:space="preserve">Mob-7000594474</t>
  </si>
  <si>
    <t xml:space="preserve">sunil.dewangan@bajajfinserv.In</t>
  </si>
  <si>
    <t xml:space="preserve">Kharora</t>
  </si>
  <si>
    <t xml:space="preserve">CHII600001</t>
  </si>
  <si>
    <t xml:space="preserve">II6</t>
  </si>
  <si>
    <t xml:space="preserve">Bajaj Finance Limited 1st Floor, Infront of Indian Overseas Bank, Kesla, Kharora, Tilda Simga Road, Kharora, (C.G.) 493225</t>
  </si>
  <si>
    <t xml:space="preserve">Raghuvendra Awasthi</t>
  </si>
  <si>
    <t xml:space="preserve">Mob-9685070483</t>
  </si>
  <si>
    <t xml:space="preserve">Raghuvendra.awasthi@bajajfinserv.in</t>
  </si>
  <si>
    <t xml:space="preserve">Kondagaon</t>
  </si>
  <si>
    <t xml:space="preserve">CT27E00016</t>
  </si>
  <si>
    <t xml:space="preserve">27E</t>
  </si>
  <si>
    <t xml:space="preserve">Bajaj Finance Limited, 2nd Floor 377/2kh, Near Saroj Hardware, Jamkot Para, Kondagaon - (Chhattisgarh) 494226</t>
  </si>
  <si>
    <t xml:space="preserve">Bhaskar Dewangan1</t>
  </si>
  <si>
    <t xml:space="preserve">Mob-8319755217</t>
  </si>
  <si>
    <t xml:space="preserve">bhaskar.dewangan1@bajajfinserv.in</t>
  </si>
  <si>
    <t xml:space="preserve">Kumhari</t>
  </si>
  <si>
    <t xml:space="preserve">CTKJ400001</t>
  </si>
  <si>
    <t xml:space="preserve">KJ4</t>
  </si>
  <si>
    <t xml:space="preserve">Bajaj Finance Limited, Ground Floor, Gaurav Path, Infront of Dusherra Maidan, Kumhari 490042 Chhattisgarh</t>
  </si>
  <si>
    <t xml:space="preserve">Hitesh Dewangan</t>
  </si>
  <si>
    <t xml:space="preserve">Mob- 8103035973</t>
  </si>
  <si>
    <t xml:space="preserve">hitesh.dewangan@bajajfinserv.in</t>
  </si>
  <si>
    <t xml:space="preserve">Mahasamund</t>
  </si>
  <si>
    <t xml:space="preserve">CT6U800027</t>
  </si>
  <si>
    <t xml:space="preserve">6U8</t>
  </si>
  <si>
    <t xml:space="preserve">Bajaj Finance Limited, 1st Floor, Above Vijaya Bank, Ward No13, Station Road, Mahasamund-493445 (Cg)</t>
  </si>
  <si>
    <t xml:space="preserve">Mayank Vishwakarma</t>
  </si>
  <si>
    <t xml:space="preserve">Mob-8305877683</t>
  </si>
  <si>
    <t xml:space="preserve">mayank.vishwakarma@bajajfinserv.in</t>
  </si>
  <si>
    <t xml:space="preserve">Common Washroom Outside in office</t>
  </si>
  <si>
    <t xml:space="preserve">Pakhanjur</t>
  </si>
  <si>
    <t xml:space="preserve">Kanker</t>
  </si>
  <si>
    <t xml:space="preserve">CHIF200001</t>
  </si>
  <si>
    <t xml:space="preserve">IF2</t>
  </si>
  <si>
    <t xml:space="preserve">1st Floor Ward No 2 Thana Para Main Road Pankhanjur 494776</t>
  </si>
  <si>
    <t xml:space="preserve">Debashish Gain</t>
  </si>
  <si>
    <t xml:space="preserve">Mob-7067655927</t>
  </si>
  <si>
    <t xml:space="preserve">debashish.gain@bajajfinserv.in</t>
  </si>
  <si>
    <t xml:space="preserve">CT45400108</t>
  </si>
  <si>
    <t xml:space="preserve">1st Floor, SKY Park, Ravi Nagar, GE Road, Near Collectorate Square, Raipur – (CG) 492001</t>
  </si>
  <si>
    <t xml:space="preserve">Yashwant Sahu</t>
  </si>
  <si>
    <t xml:space="preserve">Mob-9977296499</t>
  </si>
  <si>
    <t xml:space="preserve">yashwant.sahu1@bizsupporta.com</t>
  </si>
  <si>
    <t xml:space="preserve">Raipur Additional</t>
  </si>
  <si>
    <t xml:space="preserve">1st Floor, Chawla Tower, Beside Bottle House, Shankar Nagar, Raipur, Chhattisgarh, 492001</t>
  </si>
  <si>
    <t xml:space="preserve">Action 3</t>
  </si>
  <si>
    <t xml:space="preserve">Rajim</t>
  </si>
  <si>
    <t xml:space="preserve">Gariyaband</t>
  </si>
  <si>
    <t xml:space="preserve">CT89C00020</t>
  </si>
  <si>
    <t xml:space="preserve">89C</t>
  </si>
  <si>
    <t xml:space="preserve">Bajaj Finance Limited, Ground Floor, Ward No 12, Besides Bsnl Exchange, Kushbu Beauty Parlor, Mahasamund Road Rajim - 493885 (Cg)</t>
  </si>
  <si>
    <t xml:space="preserve">Vikrant Mishra</t>
  </si>
  <si>
    <t xml:space="preserve">Mob-9977076784</t>
  </si>
  <si>
    <t xml:space="preserve">vikrant.mishra@bajajfinserv.In</t>
  </si>
  <si>
    <t xml:space="preserve">CT57500040</t>
  </si>
  <si>
    <t xml:space="preserve">1st Floor, Hall No. - 3, Commercial Complex, New Bus Stand,Opp. Gurudwara, Rajanadgaon -(C.G) 491441</t>
  </si>
  <si>
    <t xml:space="preserve">Anurodh Yadav</t>
  </si>
  <si>
    <t xml:space="preserve">Mob-9752866668</t>
  </si>
  <si>
    <t xml:space="preserve">Anurodh.yadav@bajajfinserv.in</t>
  </si>
  <si>
    <t xml:space="preserve">Saraipali</t>
  </si>
  <si>
    <t xml:space="preserve">CT24E00016</t>
  </si>
  <si>
    <t xml:space="preserve">24E</t>
  </si>
  <si>
    <t xml:space="preserve">Bajaj Finance Limited, Ground Floor, Khasra No. 745/2, Main Road, Near Bank Of India,  Saraipali, Dist: Mahasamund  (Chhattisgarh)- 493558</t>
  </si>
  <si>
    <t xml:space="preserve">Pramod Sahu</t>
  </si>
  <si>
    <t xml:space="preserve">Mob-8819943671</t>
  </si>
  <si>
    <t xml:space="preserve">pramod.sahu@bajajfinserv.in</t>
  </si>
  <si>
    <t xml:space="preserve">CTRR500001 </t>
  </si>
  <si>
    <t xml:space="preserve">RR5</t>
  </si>
  <si>
    <t xml:space="preserve">  Bajaj Finance Limited, First Floor, Kanker Uday Nagar,Patta No.2-1/5 located at Ward No.2, Infront of Mather Marry Hospital, PG Collage, Uday Nagar, Village Kanker Pin code 494334  Ranjana G  9300012003  4100126120  4100126123   </t>
  </si>
  <si>
    <t xml:space="preserve">20.283702,</t>
  </si>
  <si>
    <t xml:space="preserve">Omshiv Sahu</t>
  </si>
  <si>
    <t xml:space="preserve">Mob-9753375377</t>
  </si>
  <si>
    <t xml:space="preserve">omshiv.sahu@bajajfinserv.in</t>
  </si>
  <si>
    <t xml:space="preserve">Bemetara Co Ext</t>
  </si>
  <si>
    <t xml:space="preserve">Bemetara</t>
  </si>
  <si>
    <t xml:space="preserve">CTSC500001</t>
  </si>
  <si>
    <t xml:space="preserve">SC5</t>
  </si>
  <si>
    <t xml:space="preserve">Bajaj Finance Limited , First Floor, Sahu Complex,Khasra No.247/5, Ward No.16, PHE Office Anmol Hotal, Durg Bemetara Road, at Village Bemetra Pin code 491335</t>
  </si>
  <si>
    <t xml:space="preserve">Roshan Kumar Yadav</t>
  </si>
  <si>
    <t xml:space="preserve">Mob-9340916105</t>
  </si>
  <si>
    <t xml:space="preserve">roshankumar.yadav@bajajfinserv.in</t>
  </si>
  <si>
    <t xml:space="preserve">Ambikapur</t>
  </si>
  <si>
    <t xml:space="preserve">Surguja</t>
  </si>
  <si>
    <t xml:space="preserve">CT4A100031</t>
  </si>
  <si>
    <t xml:space="preserve">4A1</t>
  </si>
  <si>
    <t xml:space="preserve">1st floor Dhanjal Complex infront of govt. Polytechnic college near life line hospital Ring Road NamnaKala Ambikapur  (C.G.)497001</t>
  </si>
  <si>
    <t xml:space="preserve">Ishwar Rajput</t>
  </si>
  <si>
    <t xml:space="preserve">Mob-8871371356</t>
  </si>
  <si>
    <t xml:space="preserve">ishwar.rajput@bajajfinserv.in</t>
  </si>
  <si>
    <t xml:space="preserve">Shital Devnath1</t>
  </si>
  <si>
    <t xml:space="preserve">Mob-9109421944</t>
  </si>
  <si>
    <t xml:space="preserve">shital.devnath1@bajajfinserv.in</t>
  </si>
  <si>
    <t xml:space="preserve">Bilaspur</t>
  </si>
  <si>
    <t xml:space="preserve">Bilaspur Cgh</t>
  </si>
  <si>
    <t xml:space="preserve">CT57400075</t>
  </si>
  <si>
    <t xml:space="preserve">Bajaj Finance Limited, Upper Ground Floor, "Rao Trade Centre", Ambedkar Nagar, Above Sumit Bazaar, Link Road Agrasen Chowk Bilaspur Chhattisgarh- 495001</t>
  </si>
  <si>
    <t xml:space="preserve">Mob-8878867299</t>
  </si>
  <si>
    <t xml:space="preserve">Action -4</t>
  </si>
  <si>
    <t xml:space="preserve">Champa</t>
  </si>
  <si>
    <t xml:space="preserve">Korba</t>
  </si>
  <si>
    <t xml:space="preserve">Janjgirchampa</t>
  </si>
  <si>
    <t xml:space="preserve">CTT0700028</t>
  </si>
  <si>
    <t xml:space="preserve">T07</t>
  </si>
  <si>
    <t xml:space="preserve">Ground Floor, Didwania Complex, Above Bank Of Baroda, Goushala Road, Champa  (C.G.)– 495671</t>
  </si>
  <si>
    <t xml:space="preserve">Vikash Karsh</t>
  </si>
  <si>
    <t xml:space="preserve">Mob-7582879978</t>
  </si>
  <si>
    <t xml:space="preserve">vikash.karsh@bajajfinserv.in</t>
  </si>
  <si>
    <t xml:space="preserve">Jashpurnagar</t>
  </si>
  <si>
    <t xml:space="preserve">Jashpur</t>
  </si>
  <si>
    <t xml:space="preserve">CT23E00021</t>
  </si>
  <si>
    <t xml:space="preserve">23E</t>
  </si>
  <si>
    <t xml:space="preserve">Bajaj Finance Limited, 1st Floor, Chandraraj Complex, Khasra No. 1073/3, Raigarh Road, Above Idbi Bank &amp; Syndicate Bank, Jashpur Nagar  Dist. Jashpur (Chhattisgarh)- 496331</t>
  </si>
  <si>
    <t xml:space="preserve">Navneet Singh</t>
  </si>
  <si>
    <t xml:space="preserve">Mob-9343608245</t>
  </si>
  <si>
    <t xml:space="preserve">navneet.singh13@bajajfinserv.in</t>
  </si>
  <si>
    <t xml:space="preserve">Katghora</t>
  </si>
  <si>
    <t xml:space="preserve">CT25E00020</t>
  </si>
  <si>
    <t xml:space="preserve">25E</t>
  </si>
  <si>
    <t xml:space="preserve">Bajaj Finance Limited, Ground Floor, Bilaspur Road, In Front Of Durga Mandir Near Esaf Bank,, Dist-Korba (Chhattisgarh) Khatghora – 495445</t>
  </si>
  <si>
    <t xml:space="preserve">Aman Singh</t>
  </si>
  <si>
    <t xml:space="preserve">Mob-7999055873</t>
  </si>
  <si>
    <t xml:space="preserve">aman.aman@bajajfinserv.in</t>
  </si>
  <si>
    <t xml:space="preserve">CT48600059</t>
  </si>
  <si>
    <t xml:space="preserve">1st Floor Plot no 160,Shanti Bhawan Near Maharaja Hotel TP Nagar korba – Chhattisgarh 495677</t>
  </si>
  <si>
    <t xml:space="preserve">Lav Srivas</t>
  </si>
  <si>
    <t xml:space="preserve">Mob-9993042797</t>
  </si>
  <si>
    <t xml:space="preserve">lav.srivas@bajajfinserv.in</t>
  </si>
  <si>
    <t xml:space="preserve">Manendragarh</t>
  </si>
  <si>
    <t xml:space="preserve">Koriya</t>
  </si>
  <si>
    <t xml:space="preserve">Manendragarh Chirimiri Bharatpur</t>
  </si>
  <si>
    <t xml:space="preserve">CTV9900025</t>
  </si>
  <si>
    <t xml:space="preserve">V99</t>
  </si>
  <si>
    <t xml:space="preserve">Bajaj Finance Limited, 1st Floor, Opp. Labour Office, Above Central Bank Atm, Near Vinay Hotel, Station Road Manendragarh  (Cg) 497442</t>
  </si>
  <si>
    <t xml:space="preserve">Sureshkumar Karsh</t>
  </si>
  <si>
    <t xml:space="preserve">Mob-9907734673</t>
  </si>
  <si>
    <t xml:space="preserve">sureshkumar.karsh@bajajfinserv.in</t>
  </si>
  <si>
    <t xml:space="preserve">Pamgarh</t>
  </si>
  <si>
    <t xml:space="preserve">Janjgir</t>
  </si>
  <si>
    <t xml:space="preserve">CHII700001</t>
  </si>
  <si>
    <t xml:space="preserve">II7</t>
  </si>
  <si>
    <t xml:space="preserve">Bajaj Fianance Limited 1st Floor sahasa road Near Jagan talab Dist. janjgir champa Pamgarh CG-495554</t>
  </si>
  <si>
    <t xml:space="preserve">Prabhu Patel</t>
  </si>
  <si>
    <t xml:space="preserve">Mob-8871064246</t>
  </si>
  <si>
    <t xml:space="preserve">prabhu.patel@bajajfinserv.in</t>
  </si>
  <si>
    <t xml:space="preserve">Pathalgaon</t>
  </si>
  <si>
    <t xml:space="preserve">CT28E00019</t>
  </si>
  <si>
    <t xml:space="preserve">28E</t>
  </si>
  <si>
    <t xml:space="preserve">Bajaj Finance Limited, Khasra No. 81/10, G/2  1st Floor, Ambikapur Road, Above Bank Of Baroda, Pathalgaon - Dist. Jashpur (Chhattisgarh) 496118</t>
  </si>
  <si>
    <t xml:space="preserve">Abhinav Chandra</t>
  </si>
  <si>
    <t xml:space="preserve">Mob-7773800668</t>
  </si>
  <si>
    <t xml:space="preserve">abhinav.chandra@bajajfinserv.in</t>
  </si>
  <si>
    <t xml:space="preserve">Pendra</t>
  </si>
  <si>
    <t xml:space="preserve">Gaurella Pendra Marwahi</t>
  </si>
  <si>
    <t xml:space="preserve">CT88C00017</t>
  </si>
  <si>
    <t xml:space="preserve">88C</t>
  </si>
  <si>
    <t xml:space="preserve">Bajaj Finance Limited, 1st Floor, War No. 11, State Highway -4, Infront Of Saraswati Shishu Mandir School, Pendra - 495119 Dist. Bilaspur (Cg)</t>
  </si>
  <si>
    <t xml:space="preserve">Vishal Sahu</t>
  </si>
  <si>
    <t xml:space="preserve">Mob-8839241097</t>
  </si>
  <si>
    <t xml:space="preserve">vishal.sahu1@bajajfinserv.in</t>
  </si>
  <si>
    <t xml:space="preserve">Raigarh</t>
  </si>
  <si>
    <t xml:space="preserve">CT4D000036</t>
  </si>
  <si>
    <t xml:space="preserve">4D0</t>
  </si>
  <si>
    <t xml:space="preserve">Bajaj Finance Limited, 1st Floor, Dcot Plaza, Sh 1, Madhuban Para, Above Vip World, Raigarh 496001</t>
  </si>
  <si>
    <t xml:space="preserve">Mob-7582863608</t>
  </si>
  <si>
    <t xml:space="preserve">shubham.yadav58@bizsupporta.com</t>
  </si>
  <si>
    <t xml:space="preserve">Raigarh - Additional</t>
  </si>
  <si>
    <t xml:space="preserve">4D0B1</t>
  </si>
  <si>
    <t xml:space="preserve">Bajaj Finance Limited, Modi Plaz, Dhimrapur road, Raigarh- 496001</t>
  </si>
  <si>
    <t xml:space="preserve">Ramanujganj</t>
  </si>
  <si>
    <t xml:space="preserve">Balrampur</t>
  </si>
  <si>
    <t xml:space="preserve">CTEZ600005</t>
  </si>
  <si>
    <t xml:space="preserve">EZ6</t>
  </si>
  <si>
    <t xml:space="preserve">Bajaj Finance Limited, Bus Stand, Beside Ramanujganj Thana, Infront of Shivam Grand Hotel, Ramanujganj-497220</t>
  </si>
  <si>
    <t xml:space="preserve">Vishesh Dewangan</t>
  </si>
  <si>
    <t xml:space="preserve">Mob-8349307613</t>
  </si>
  <si>
    <t xml:space="preserve">vishesh.dewangan@bajajfinserv.in</t>
  </si>
  <si>
    <t xml:space="preserve">Shivrinarayan</t>
  </si>
  <si>
    <t xml:space="preserve">CT90C00021</t>
  </si>
  <si>
    <t xml:space="preserve">90C</t>
  </si>
  <si>
    <t xml:space="preserve">Bajaj Finance Limited, 1st Floor, Kharod Road Near Esaf Bank Dist. Janjgir Champa Shivrinarayan - 495557 (Cg)</t>
  </si>
  <si>
    <t xml:space="preserve">Shyamsundar Sahu</t>
  </si>
  <si>
    <t xml:space="preserve">Mob-9977400099</t>
  </si>
  <si>
    <t xml:space="preserve">shyamsundar.sahu@bajajfinserv.in</t>
  </si>
  <si>
    <t xml:space="preserve">Surajpur</t>
  </si>
  <si>
    <t xml:space="preserve">CT29E00022</t>
  </si>
  <si>
    <t xml:space="preserve">29E</t>
  </si>
  <si>
    <t xml:space="preserve">Bajaj Finance Limited, 1st Floor, Khasra No. 335/2, Manendragarh Road, Mahamaya Marble &amp; Tiles, Chandarpur, Surajpur - 497229</t>
  </si>
  <si>
    <t xml:space="preserve">Mohammad Ansari</t>
  </si>
  <si>
    <t xml:space="preserve">Mob-9685706096</t>
  </si>
  <si>
    <t xml:space="preserve">mohammad.ansari9@bajajfinserv.in</t>
  </si>
  <si>
    <t xml:space="preserve">Takhatpur</t>
  </si>
  <si>
    <t xml:space="preserve">CT01Q00018</t>
  </si>
  <si>
    <t xml:space="preserve">01Q</t>
  </si>
  <si>
    <t xml:space="preserve">Bajaj Finance Limited, Ground Floor, Gurudwara Complex, Gurudwara Road, Near Hdfc &amp; Idbi Bank, Dist Bilaspur,  takhatpur - 495330</t>
  </si>
  <si>
    <t xml:space="preserve">Kamal Banjara</t>
  </si>
  <si>
    <t xml:space="preserve">Mob-8085012211</t>
  </si>
  <si>
    <t xml:space="preserve">kamal.banjara@bajajfinserv.in</t>
  </si>
  <si>
    <t xml:space="preserve">Balod Bazar</t>
  </si>
  <si>
    <t xml:space="preserve">CTRR600002</t>
  </si>
  <si>
    <t xml:space="preserve">In Front of DCB Bank, First Floor Ambedkar Chowk, Main Road, Baloda Bazar- 493332, C.G. </t>
  </si>
  <si>
    <t xml:space="preserve">21.65700766219171, 82.16328877226809 </t>
  </si>
  <si>
    <t xml:space="preserve">25-09-2025</t>
  </si>
  <si>
    <t xml:space="preserve">Virendra Patel1</t>
  </si>
  <si>
    <t xml:space="preserve">Mob-7000660799</t>
  </si>
  <si>
    <t xml:space="preserve">virendra.patel1@bajajfinserv.in</t>
  </si>
  <si>
    <t xml:space="preserve">Kawardha</t>
  </si>
  <si>
    <t xml:space="preserve">Kabirdham</t>
  </si>
  <si>
    <t xml:space="preserve">CTT3700025</t>
  </si>
  <si>
    <t xml:space="preserve">T37</t>
  </si>
  <si>
    <t xml:space="preserve">Bajaj Finance Limited, 1st Floor, Sidhivinayak Plaza, Kawardha - Chhattisgarh 491995</t>
  </si>
  <si>
    <t xml:space="preserve">Pradeep Sahu2</t>
  </si>
  <si>
    <t xml:space="preserve">Mob- 9131428332</t>
  </si>
  <si>
    <t xml:space="preserve">pradeep.sahu2@bajajfinserv.in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</si>
</sst>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* #,##0.00\ ;* \(#,##0.00\);* \-#\ ;@\ "/>
    <numFmt numFmtId="166" formatCode="_(* #,##0.00_);_(* \(#,##0.00\);_(* \-??_);_(@_)"/>
    <numFmt numFmtId="167" formatCode="_ * #,##0.00_ ;_ * \-#,##0.00_ ;_ * \-??_ ;_ @_ "/>
    <numFmt numFmtId="168" formatCode="_ * #,##0_ ;_ * \-#,##0_ ;_ * \-??_ ;_ @_ "/>
    <numFmt numFmtId="169" formatCode="dd/mm/yyyy"/>
  </numFmts>
  <fonts count="2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Calibri"/>
      <family val="2"/>
      <charset val="1"/>
    </font>
    <font>
      <sz val="11"/>
      <color rgb="FF000000"/>
      <name val="Calibri"/>
      <family val="2"/>
      <charset val="1"/>
    </font>
    <font>
      <u val="single"/>
      <sz val="11"/>
      <color rgb="FF008080"/>
      <name val="Calibri"/>
      <family val="2"/>
      <charset val="1"/>
    </font>
    <font>
      <u val="single"/>
      <sz val="11"/>
      <color rgb="FF0066CC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800000"/>
      <name val="Calibri"/>
      <family val="2"/>
      <charset val="1"/>
    </font>
    <font>
      <sz val="10"/>
      <color theme="1"/>
      <name val="Rubik Light"/>
      <family val="0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theme="0"/>
      <name val="Rubik"/>
      <family val="0"/>
      <charset val="1"/>
    </font>
    <font>
      <b val="true"/>
      <sz val="14"/>
      <color rgb="FFFFFF00"/>
      <name val="Rubik"/>
      <family val="0"/>
      <charset val="1"/>
    </font>
    <font>
      <b val="true"/>
      <sz val="11"/>
      <color theme="0"/>
      <name val="Rubik"/>
      <family val="0"/>
      <charset val="1"/>
    </font>
    <font>
      <sz val="11"/>
      <color theme="1"/>
      <name val="Rubik"/>
      <family val="0"/>
      <charset val="1"/>
    </font>
    <font>
      <sz val="11"/>
      <color rgb="FF000000"/>
      <name val="Times New Roman"/>
      <family val="0"/>
    </font>
    <font>
      <b val="true"/>
      <sz val="11"/>
      <color theme="1"/>
      <name val="Rubik"/>
      <family val="0"/>
      <charset val="1"/>
    </font>
    <font>
      <sz val="11"/>
      <name val="Rubik Light"/>
      <family val="0"/>
      <charset val="1"/>
    </font>
    <font>
      <u val="single"/>
      <sz val="11"/>
      <color theme="10"/>
      <name val="Aptos Narrow"/>
      <family val="2"/>
      <charset val="1"/>
    </font>
    <font>
      <sz val="10"/>
      <name val="Rubik Light"/>
      <family val="0"/>
      <charset val="1"/>
    </font>
    <font>
      <sz val="11"/>
      <color rgb="FF000000"/>
      <name val="Rubik Light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4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166" fontId="5" fillId="0" borderId="0" applyFont="true" applyBorder="false" applyAlignment="true" applyProtection="false">
      <alignment horizontal="general" vertical="bottom" textRotation="0" wrapText="false" indent="0" shrinkToFit="false"/>
    </xf>
    <xf numFmtId="166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8" fillId="5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8" fillId="5" borderId="6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8" fillId="5" borderId="8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8" fillId="5" borderId="9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3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4 2 2 3 2 2 2 3 2" xfId="21"/>
    <cellStyle name="Comma 3" xfId="22"/>
    <cellStyle name="Comma 4" xfId="23"/>
    <cellStyle name="Comma 5" xfId="24"/>
    <cellStyle name="Hyperlink 2" xfId="25"/>
    <cellStyle name="Hyperlink 2 3 2" xfId="26"/>
    <cellStyle name="Hyperlink 3" xfId="27"/>
    <cellStyle name="Normal 10 2 2 2 2" xfId="28"/>
    <cellStyle name="Normal 11" xfId="29"/>
    <cellStyle name="Normal 14" xfId="30"/>
    <cellStyle name="Normal 14 2" xfId="31"/>
    <cellStyle name="Normal 2" xfId="32"/>
    <cellStyle name="Normal 2 3" xfId="33"/>
    <cellStyle name="Normal 2 3 2 3" xfId="34"/>
    <cellStyle name="Normal 3 2 2 2 5 2 2 2 2 2 2" xfId="35"/>
    <cellStyle name="Normal 3 2 2 2 5 2 2 2 2 2 2 3" xfId="36"/>
    <cellStyle name="Normal 3 2 2 2 5 2 2 6 3 2 2 2" xfId="37"/>
    <cellStyle name="Normal 3 4" xfId="38"/>
    <cellStyle name="Normal 4" xfId="39"/>
    <cellStyle name="Normal 4 2 2" xfId="40"/>
    <cellStyle name="Normal 5 11 3 2 2" xfId="41"/>
    <cellStyle name="Normal 5 3" xfId="42"/>
    <cellStyle name="Normal 6" xfId="43"/>
    <cellStyle name="Normal 7" xfId="44"/>
    <cellStyle name="Normal 7 2" xfId="45"/>
    <cellStyle name="Normal 8 2" xfId="46"/>
    <cellStyle name="Normal 9" xfId="47"/>
    <cellStyle name="*unknown*" xfId="20" builtinId="8"/>
  </cellStyles>
  <dxfs count="5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46788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44280</xdr:colOff>
      <xdr:row>0</xdr:row>
      <xdr:rowOff>19080</xdr:rowOff>
    </xdr:from>
    <xdr:to>
      <xdr:col>2</xdr:col>
      <xdr:colOff>124200</xdr:colOff>
      <xdr:row>0</xdr:row>
      <xdr:rowOff>772560</xdr:rowOff>
    </xdr:to>
    <xdr:sp>
      <xdr:nvSpPr>
        <xdr:cNvPr id="1" name=""/>
        <xdr:cNvSpPr/>
      </xdr:nvSpPr>
      <xdr:spPr>
        <a:xfrm>
          <a:off x="44280" y="19080"/>
          <a:ext cx="1078920" cy="7534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This shape represents a table slicer. Table slicers are not supported in this version of Excel.</a:t>
          </a:r>
          <a:endParaRPr lang="en-IN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IN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If the shape was modified in an earlier version of Excel, or if the workbook was saved in Excel 2007 or earlier, the slicer can't be used.</a:t>
          </a:r>
          <a:endParaRPr lang="en-IN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</xdr:col>
      <xdr:colOff>6480</xdr:colOff>
      <xdr:row>0</xdr:row>
      <xdr:rowOff>730080</xdr:rowOff>
    </xdr:from>
    <xdr:to>
      <xdr:col>10</xdr:col>
      <xdr:colOff>1197000</xdr:colOff>
      <xdr:row>0</xdr:row>
      <xdr:rowOff>1807560</xdr:rowOff>
    </xdr:to>
    <xdr:sp>
      <xdr:nvSpPr>
        <xdr:cNvPr id="2" name=""/>
        <xdr:cNvSpPr/>
      </xdr:nvSpPr>
      <xdr:spPr>
        <a:xfrm>
          <a:off x="6480" y="730080"/>
          <a:ext cx="9953640" cy="10774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This shape represents a table slicer. Table slicers are not supported in this version of Excel.</a:t>
          </a:r>
          <a:endParaRPr lang="en-IN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IN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If the shape was modified in an earlier version of Excel, or if the workbook was saved in Excel 2007 or earlier, the slicer can't be used.</a:t>
          </a:r>
          <a:endParaRPr lang="en-IN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2</xdr:col>
      <xdr:colOff>133200</xdr:colOff>
      <xdr:row>0</xdr:row>
      <xdr:rowOff>25560</xdr:rowOff>
    </xdr:from>
    <xdr:to>
      <xdr:col>10</xdr:col>
      <xdr:colOff>1196640</xdr:colOff>
      <xdr:row>0</xdr:row>
      <xdr:rowOff>743040</xdr:rowOff>
    </xdr:to>
    <xdr:sp>
      <xdr:nvSpPr>
        <xdr:cNvPr id="3" name=""/>
        <xdr:cNvSpPr/>
      </xdr:nvSpPr>
      <xdr:spPr>
        <a:xfrm>
          <a:off x="1132200" y="25560"/>
          <a:ext cx="8827560" cy="7174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This shape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represents a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table slicer.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Table slicers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are not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supported in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this version of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Excel.</a:t>
          </a:r>
          <a:endParaRPr lang="en-IN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IN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If the shape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was modified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in an earlier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version of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Excel, or if the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workbook was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saved in Excel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2007 or earlier,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the slicer can't </a:t>
          </a:r>
          <a:r>
            <a:rPr lang="en-IN" sz="1100" b="0" u="none" strike="noStrike">
              <a:solidFill>
                <a:srgbClr val="000000"/>
              </a:solidFill>
              <a:effectLst/>
              <a:uFillTx/>
              <a:latin typeface="Times New Roman"/>
            </a:rPr>
            <a:t>be used.</a:t>
          </a:r>
          <a:endParaRPr lang="en-IN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1683720</xdr:colOff>
      <xdr:row>1</xdr:row>
      <xdr:rowOff>57240</xdr:rowOff>
    </xdr:from>
    <xdr:to>
      <xdr:col>4</xdr:col>
      <xdr:colOff>207000</xdr:colOff>
      <xdr:row>1</xdr:row>
      <xdr:rowOff>187920</xdr:rowOff>
    </xdr:to>
    <xdr:sp>
      <xdr:nvSpPr>
        <xdr:cNvPr id="4" name="Arrow: Right 4"/>
        <xdr:cNvSpPr/>
      </xdr:nvSpPr>
      <xdr:spPr>
        <a:xfrm>
          <a:off x="2682720" y="1924200"/>
          <a:ext cx="208440" cy="130680"/>
        </a:xfrm>
        <a:prstGeom prst="rightArrow">
          <a:avLst>
            <a:gd name="adj1" fmla="val 50000"/>
            <a:gd name="adj2" fmla="val 50000"/>
          </a:avLst>
        </a:prstGeom>
        <a:solidFill>
          <a:srgbClr val="FFC000"/>
        </a:solidFill>
        <a:ln w="19050">
          <a:solidFill>
            <a:srgbClr val="092A38"/>
          </a:solidFill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3:K47" headerRowCount="1" totalsRowCount="0" totalsRowShown="0">
  <autoFilter ref="A3:K47"/>
  <tableColumns count="11">
    <tableColumn id="1" name="Vertical"/>
    <tableColumn id="2" name="Sub- Region"/>
    <tableColumn id="3" name="State"/>
    <tableColumn id="4" name="Regional Manager"/>
    <tableColumn id="5" name="Location #"/>
    <tableColumn id="6" name="Carpet Area"/>
    <tableColumn id="7" name="Admin Assitant"/>
    <tableColumn id="8" name="Total Seats"/>
    <tableColumn id="9" name="Total On Roll"/>
    <tableColumn id="10" name="Total Off roll"/>
    <tableColumn id="11" name="Total Employ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paidi.santharao@bajajfinserv.in" TargetMode="External"/><Relationship Id="rId2" Type="http://schemas.openxmlformats.org/officeDocument/2006/relationships/hyperlink" Target="mailto:voona.krishna@bajajfinserv.in" TargetMode="External"/><Relationship Id="rId3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H4" activeCellId="0" sqref="H4"/>
    </sheetView>
  </sheetViews>
  <sheetFormatPr defaultColWidth="8.50390625" defaultRowHeight="14.25" customHeight="false" zeroHeight="false" outlineLevelRow="0" outlineLevelCol="0"/>
  <cols>
    <col collapsed="false" customWidth="true" hidden="true" outlineLevel="0" max="1" min="1" style="1" width="13.45"/>
    <col collapsed="false" customWidth="true" hidden="false" outlineLevel="0" max="2" min="2" style="1" width="15.73"/>
    <col collapsed="false" customWidth="true" hidden="false" outlineLevel="0" max="3" min="3" style="1" width="26.54"/>
    <col collapsed="false" customWidth="true" hidden="true" outlineLevel="0" max="4" min="4" style="1" width="22.73"/>
    <col collapsed="false" customWidth="true" hidden="false" outlineLevel="0" max="5" min="5" style="1" width="14"/>
    <col collapsed="false" customWidth="true" hidden="false" outlineLevel="0" max="6" min="6" style="1" width="15.73"/>
    <col collapsed="false" customWidth="true" hidden="false" outlineLevel="0" max="7" min="7" style="1" width="18.82"/>
    <col collapsed="false" customWidth="true" hidden="false" outlineLevel="0" max="8" min="8" style="1" width="14.73"/>
    <col collapsed="false" customWidth="true" hidden="false" outlineLevel="0" max="9" min="9" style="1" width="16.18"/>
    <col collapsed="false" customWidth="true" hidden="false" outlineLevel="0" max="10" min="10" style="1" width="16.27"/>
    <col collapsed="false" customWidth="true" hidden="false" outlineLevel="0" max="11" min="11" style="1" width="18.91"/>
    <col collapsed="false" customWidth="true" hidden="false" outlineLevel="0" max="21" min="21" style="1" width="13.45"/>
    <col collapsed="false" customWidth="true" hidden="false" outlineLevel="0" max="22" min="22" style="1" width="15.09"/>
    <col collapsed="false" customWidth="true" hidden="false" outlineLevel="0" max="23" min="23" style="1" width="16.63"/>
    <col collapsed="false" customWidth="true" hidden="false" outlineLevel="0" max="24" min="24" style="1" width="15.36"/>
    <col collapsed="false" customWidth="true" hidden="false" outlineLevel="0" max="25" min="25" style="1" width="12.54"/>
    <col collapsed="false" customWidth="true" hidden="false" outlineLevel="0" max="26" min="26" style="1" width="14"/>
    <col collapsed="false" customWidth="true" hidden="false" outlineLevel="0" max="27" min="27" style="1" width="14.09"/>
    <col collapsed="false" customWidth="true" hidden="false" outlineLevel="0" max="28" min="28" style="1" width="16.73"/>
    <col collapsed="false" customWidth="true" hidden="false" outlineLevel="0" max="29" min="29" style="1" width="17.09"/>
  </cols>
  <sheetData>
    <row r="1" customFormat="false" ht="147" hidden="false" customHeight="true" outlineLevel="0" collapsed="false"/>
    <row r="2" customFormat="false" ht="17.35" hidden="false" customHeight="false" outlineLevel="0" collapsed="false">
      <c r="D2" s="2" t="s">
        <v>0</v>
      </c>
      <c r="E2" s="3" t="n">
        <f aca="false">SUBTOTAL(9,Table1[Location '#])</f>
        <v>2219</v>
      </c>
      <c r="F2" s="3" t="n">
        <f aca="false">SUBTOTAL(9,Table1[Carpet Area])</f>
        <v>3429557.53</v>
      </c>
      <c r="G2" s="3" t="n">
        <f aca="false">SUBTOTAL(9,G4:G47)</f>
        <v>184</v>
      </c>
      <c r="H2" s="3" t="n">
        <f aca="false">SUBTOTAL(9,Table1[Total Seats])</f>
        <v>48510</v>
      </c>
      <c r="I2" s="3" t="n">
        <f aca="false">SUBTOTAL(9,Table1[Total On Roll])</f>
        <v>46080</v>
      </c>
      <c r="J2" s="3" t="n">
        <f aca="false">SUBTOTAL(9,Table1[Total Off roll])</f>
        <v>16085</v>
      </c>
      <c r="K2" s="3" t="n">
        <f aca="false">SUBTOTAL(9,Table1[Total Employes])</f>
        <v>62165</v>
      </c>
      <c r="U2" s="4" t="s">
        <v>1</v>
      </c>
      <c r="V2" s="4" t="s">
        <v>2</v>
      </c>
      <c r="W2" s="4" t="s">
        <v>0</v>
      </c>
      <c r="X2" s="4" t="s">
        <v>3</v>
      </c>
      <c r="Y2" s="4" t="s">
        <v>4</v>
      </c>
      <c r="Z2" s="4" t="s">
        <v>5</v>
      </c>
      <c r="AA2" s="4" t="s">
        <v>6</v>
      </c>
      <c r="AB2" s="4" t="s">
        <v>7</v>
      </c>
      <c r="AC2" s="4" t="s">
        <v>8</v>
      </c>
    </row>
    <row r="3" customFormat="false" ht="14.25" hidden="false" customHeight="false" outlineLevel="0" collapsed="false">
      <c r="A3" s="5" t="s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7" t="s">
        <v>3</v>
      </c>
      <c r="G3" s="6" t="s">
        <v>13</v>
      </c>
      <c r="H3" s="6" t="s">
        <v>4</v>
      </c>
      <c r="I3" s="6" t="s">
        <v>5</v>
      </c>
      <c r="J3" s="6" t="s">
        <v>6</v>
      </c>
      <c r="K3" s="6" t="s">
        <v>7</v>
      </c>
      <c r="U3" s="8" t="s">
        <v>14</v>
      </c>
      <c r="V3" s="8" t="s">
        <v>15</v>
      </c>
      <c r="W3" s="8" t="n">
        <v>229</v>
      </c>
      <c r="X3" s="8" t="n">
        <v>352163.75</v>
      </c>
      <c r="Y3" s="8" t="n">
        <v>5390</v>
      </c>
      <c r="Z3" s="8" t="n">
        <v>4823</v>
      </c>
      <c r="AA3" s="8" t="n">
        <v>2864</v>
      </c>
      <c r="AB3" s="8" t="n">
        <v>7687</v>
      </c>
      <c r="AC3" s="8" t="n">
        <v>36</v>
      </c>
    </row>
    <row r="4" customFormat="false" ht="14.25" hidden="false" customHeight="false" outlineLevel="0" collapsed="false">
      <c r="A4" s="9" t="s">
        <v>16</v>
      </c>
      <c r="B4" s="10" t="s">
        <v>17</v>
      </c>
      <c r="C4" s="10" t="s">
        <v>18</v>
      </c>
      <c r="D4" s="10" t="s">
        <v>19</v>
      </c>
      <c r="E4" s="11" t="n">
        <v>1</v>
      </c>
      <c r="F4" s="12" t="n">
        <v>800</v>
      </c>
      <c r="G4" s="13" t="n">
        <v>1</v>
      </c>
      <c r="H4" s="13" t="n">
        <v>12</v>
      </c>
      <c r="I4" s="14" t="n">
        <v>7</v>
      </c>
      <c r="J4" s="14" t="n">
        <v>1</v>
      </c>
      <c r="K4" s="14" t="n">
        <v>8</v>
      </c>
      <c r="U4" s="8" t="s">
        <v>14</v>
      </c>
      <c r="V4" s="8" t="s">
        <v>20</v>
      </c>
      <c r="W4" s="8" t="n">
        <v>177</v>
      </c>
      <c r="X4" s="8" t="n">
        <v>258004</v>
      </c>
      <c r="Y4" s="8" t="n">
        <v>3428</v>
      </c>
      <c r="Z4" s="8" t="n">
        <v>3083</v>
      </c>
      <c r="AA4" s="8" t="n">
        <v>698</v>
      </c>
      <c r="AB4" s="8" t="n">
        <v>3781</v>
      </c>
      <c r="AC4" s="8" t="n">
        <v>15</v>
      </c>
    </row>
    <row r="5" customFormat="false" ht="14.25" hidden="false" customHeight="false" outlineLevel="0" collapsed="false">
      <c r="A5" s="9" t="s">
        <v>16</v>
      </c>
      <c r="B5" s="10" t="s">
        <v>21</v>
      </c>
      <c r="C5" s="10" t="s">
        <v>22</v>
      </c>
      <c r="D5" s="10" t="s">
        <v>23</v>
      </c>
      <c r="E5" s="11" t="n">
        <v>100</v>
      </c>
      <c r="F5" s="12" t="n">
        <v>178072</v>
      </c>
      <c r="G5" s="10" t="n">
        <v>11</v>
      </c>
      <c r="H5" s="10" t="n">
        <v>2426</v>
      </c>
      <c r="I5" s="14" t="n">
        <v>2451</v>
      </c>
      <c r="J5" s="14" t="n">
        <v>1028</v>
      </c>
      <c r="K5" s="14" t="n">
        <v>3479</v>
      </c>
      <c r="U5" s="8" t="s">
        <v>14</v>
      </c>
      <c r="V5" s="8" t="s">
        <v>24</v>
      </c>
      <c r="W5" s="8" t="n">
        <v>222</v>
      </c>
      <c r="X5" s="8" t="n">
        <v>255263</v>
      </c>
      <c r="Y5" s="8" t="n">
        <v>2895</v>
      </c>
      <c r="Z5" s="8" t="n">
        <v>3162</v>
      </c>
      <c r="AA5" s="8" t="n">
        <v>748</v>
      </c>
      <c r="AB5" s="8" t="n">
        <v>3910</v>
      </c>
      <c r="AC5" s="8" t="n">
        <v>14</v>
      </c>
    </row>
    <row r="6" customFormat="false" ht="14.25" hidden="false" customHeight="false" outlineLevel="0" collapsed="false">
      <c r="A6" s="9" t="s">
        <v>14</v>
      </c>
      <c r="B6" s="10" t="s">
        <v>25</v>
      </c>
      <c r="C6" s="10" t="s">
        <v>26</v>
      </c>
      <c r="D6" s="10" t="s">
        <v>27</v>
      </c>
      <c r="E6" s="11" t="n">
        <v>9</v>
      </c>
      <c r="F6" s="12" t="n">
        <v>7846</v>
      </c>
      <c r="G6" s="10" t="n">
        <v>0</v>
      </c>
      <c r="H6" s="10" t="n">
        <v>53</v>
      </c>
      <c r="I6" s="14" t="n">
        <v>39</v>
      </c>
      <c r="J6" s="14" t="n">
        <v>4</v>
      </c>
      <c r="K6" s="14" t="n">
        <v>43</v>
      </c>
      <c r="U6" s="8" t="s">
        <v>14</v>
      </c>
      <c r="V6" s="8" t="s">
        <v>25</v>
      </c>
      <c r="W6" s="8" t="n">
        <v>136</v>
      </c>
      <c r="X6" s="8" t="n">
        <v>154802</v>
      </c>
      <c r="Y6" s="8" t="n">
        <v>1889</v>
      </c>
      <c r="Z6" s="8" t="n">
        <v>1894</v>
      </c>
      <c r="AA6" s="8" t="n">
        <v>468</v>
      </c>
      <c r="AB6" s="8" t="n">
        <v>2362</v>
      </c>
      <c r="AC6" s="8" t="n">
        <v>4</v>
      </c>
    </row>
    <row r="7" customFormat="false" ht="14.25" hidden="false" customHeight="false" outlineLevel="0" collapsed="false">
      <c r="A7" s="9" t="s">
        <v>14</v>
      </c>
      <c r="B7" s="10" t="s">
        <v>25</v>
      </c>
      <c r="C7" s="10" t="s">
        <v>28</v>
      </c>
      <c r="D7" s="10" t="s">
        <v>27</v>
      </c>
      <c r="E7" s="11" t="n">
        <v>55</v>
      </c>
      <c r="F7" s="12" t="n">
        <v>60240</v>
      </c>
      <c r="G7" s="10" t="n">
        <v>1</v>
      </c>
      <c r="H7" s="10" t="n">
        <v>837</v>
      </c>
      <c r="I7" s="14" t="n">
        <v>974</v>
      </c>
      <c r="J7" s="14" t="n">
        <v>205</v>
      </c>
      <c r="K7" s="14" t="n">
        <v>1179</v>
      </c>
      <c r="U7" s="8" t="s">
        <v>14</v>
      </c>
      <c r="V7" s="8" t="s">
        <v>29</v>
      </c>
      <c r="W7" s="8" t="n">
        <v>103</v>
      </c>
      <c r="X7" s="8" t="n">
        <v>173180</v>
      </c>
      <c r="Y7" s="8" t="n">
        <v>2752</v>
      </c>
      <c r="Z7" s="8" t="n">
        <v>3068</v>
      </c>
      <c r="AA7" s="8" t="n">
        <v>897</v>
      </c>
      <c r="AB7" s="8" t="n">
        <v>3965</v>
      </c>
      <c r="AC7" s="8" t="n">
        <v>16</v>
      </c>
    </row>
    <row r="8" customFormat="false" ht="14.25" hidden="false" customHeight="false" outlineLevel="0" collapsed="false">
      <c r="A8" s="9" t="s">
        <v>14</v>
      </c>
      <c r="B8" s="10" t="s">
        <v>30</v>
      </c>
      <c r="C8" s="10" t="s">
        <v>31</v>
      </c>
      <c r="D8" s="10" t="s">
        <v>32</v>
      </c>
      <c r="E8" s="11" t="n">
        <v>126</v>
      </c>
      <c r="F8" s="12" t="n">
        <v>149676</v>
      </c>
      <c r="G8" s="10" t="n">
        <v>3</v>
      </c>
      <c r="H8" s="10" t="n">
        <v>1675</v>
      </c>
      <c r="I8" s="14" t="n">
        <v>2110</v>
      </c>
      <c r="J8" s="14" t="n">
        <v>258</v>
      </c>
      <c r="K8" s="14" t="n">
        <v>2368</v>
      </c>
      <c r="U8" s="8" t="s">
        <v>14</v>
      </c>
      <c r="V8" s="8" t="s">
        <v>33</v>
      </c>
      <c r="W8" s="8" t="n">
        <v>68</v>
      </c>
      <c r="X8" s="8" t="n">
        <v>108079</v>
      </c>
      <c r="Y8" s="8" t="n">
        <v>1699</v>
      </c>
      <c r="Z8" s="8" t="n">
        <v>1708</v>
      </c>
      <c r="AA8" s="8" t="n">
        <v>422</v>
      </c>
      <c r="AB8" s="8" t="n">
        <v>2130</v>
      </c>
      <c r="AC8" s="8" t="n">
        <v>3</v>
      </c>
    </row>
    <row r="9" customFormat="false" ht="14.25" hidden="false" customHeight="false" outlineLevel="0" collapsed="false">
      <c r="A9" s="9" t="s">
        <v>14</v>
      </c>
      <c r="B9" s="10" t="s">
        <v>20</v>
      </c>
      <c r="C9" s="10" t="s">
        <v>34</v>
      </c>
      <c r="D9" s="10" t="s">
        <v>35</v>
      </c>
      <c r="E9" s="11" t="n">
        <v>4</v>
      </c>
      <c r="F9" s="12" t="n">
        <v>12436</v>
      </c>
      <c r="G9" s="10" t="n">
        <v>1</v>
      </c>
      <c r="H9" s="10" t="n">
        <v>236</v>
      </c>
      <c r="I9" s="14" t="n">
        <v>233</v>
      </c>
      <c r="J9" s="14" t="n">
        <v>88</v>
      </c>
      <c r="K9" s="14" t="n">
        <v>321</v>
      </c>
      <c r="U9" s="8" t="s">
        <v>14</v>
      </c>
      <c r="V9" s="8" t="s">
        <v>30</v>
      </c>
      <c r="W9" s="8" t="n">
        <v>190</v>
      </c>
      <c r="X9" s="8" t="n">
        <v>229256</v>
      </c>
      <c r="Y9" s="8" t="n">
        <v>2582</v>
      </c>
      <c r="Z9" s="8" t="n">
        <v>3186</v>
      </c>
      <c r="AA9" s="8" t="n">
        <v>481</v>
      </c>
      <c r="AB9" s="8" t="n">
        <v>3667</v>
      </c>
      <c r="AC9" s="8" t="n">
        <v>8</v>
      </c>
    </row>
    <row r="10" customFormat="false" ht="14.25" hidden="false" customHeight="false" outlineLevel="0" collapsed="false">
      <c r="A10" s="9" t="s">
        <v>16</v>
      </c>
      <c r="B10" s="10" t="s">
        <v>21</v>
      </c>
      <c r="C10" s="10" t="s">
        <v>36</v>
      </c>
      <c r="D10" s="10" t="s">
        <v>23</v>
      </c>
      <c r="E10" s="11" t="n">
        <v>41</v>
      </c>
      <c r="F10" s="12" t="n">
        <v>58501</v>
      </c>
      <c r="G10" s="10" t="n">
        <v>3</v>
      </c>
      <c r="H10" s="10" t="n">
        <v>802</v>
      </c>
      <c r="I10" s="14" t="n">
        <v>704</v>
      </c>
      <c r="J10" s="14" t="n">
        <v>360</v>
      </c>
      <c r="K10" s="14" t="n">
        <v>1064</v>
      </c>
      <c r="U10" s="8" t="s">
        <v>16</v>
      </c>
      <c r="V10" s="8" t="s">
        <v>37</v>
      </c>
      <c r="W10" s="8" t="n">
        <v>238</v>
      </c>
      <c r="X10" s="8" t="n">
        <v>362152</v>
      </c>
      <c r="Y10" s="8" t="n">
        <v>5434</v>
      </c>
      <c r="Z10" s="8" t="n">
        <v>4929</v>
      </c>
      <c r="AA10" s="8" t="n">
        <v>2367</v>
      </c>
      <c r="AB10" s="8" t="n">
        <v>7296</v>
      </c>
      <c r="AC10" s="8" t="n">
        <v>16</v>
      </c>
    </row>
    <row r="11" customFormat="false" ht="14.25" hidden="false" customHeight="false" outlineLevel="0" collapsed="false">
      <c r="A11" s="9" t="s">
        <v>14</v>
      </c>
      <c r="B11" s="10" t="s">
        <v>29</v>
      </c>
      <c r="C11" s="10" t="s">
        <v>38</v>
      </c>
      <c r="D11" s="10" t="s">
        <v>39</v>
      </c>
      <c r="E11" s="11" t="n">
        <v>18</v>
      </c>
      <c r="F11" s="12" t="n">
        <v>51201</v>
      </c>
      <c r="G11" s="10" t="n">
        <v>4</v>
      </c>
      <c r="H11" s="10" t="n">
        <v>1039</v>
      </c>
      <c r="I11" s="14" t="n">
        <v>1410</v>
      </c>
      <c r="J11" s="14" t="n">
        <v>503</v>
      </c>
      <c r="K11" s="14" t="n">
        <v>1913</v>
      </c>
      <c r="U11" s="8" t="s">
        <v>16</v>
      </c>
      <c r="V11" s="8" t="s">
        <v>40</v>
      </c>
      <c r="W11" s="8" t="n">
        <v>240</v>
      </c>
      <c r="X11" s="8" t="n">
        <v>353204</v>
      </c>
      <c r="Y11" s="8" t="n">
        <v>5015</v>
      </c>
      <c r="Z11" s="8" t="n">
        <v>4023</v>
      </c>
      <c r="AA11" s="8" t="n">
        <v>1190</v>
      </c>
      <c r="AB11" s="8" t="n">
        <v>5213</v>
      </c>
      <c r="AC11" s="8" t="n">
        <v>12</v>
      </c>
    </row>
    <row r="12" customFormat="false" ht="14.25" hidden="false" customHeight="false" outlineLevel="0" collapsed="false">
      <c r="A12" s="9" t="s">
        <v>16</v>
      </c>
      <c r="B12" s="10" t="s">
        <v>40</v>
      </c>
      <c r="C12" s="10" t="s">
        <v>41</v>
      </c>
      <c r="D12" s="10" t="s">
        <v>42</v>
      </c>
      <c r="E12" s="11" t="n">
        <v>8</v>
      </c>
      <c r="F12" s="12" t="n">
        <v>9250</v>
      </c>
      <c r="G12" s="10" t="n">
        <v>1</v>
      </c>
      <c r="H12" s="10" t="n">
        <v>108</v>
      </c>
      <c r="I12" s="14" t="n">
        <v>91</v>
      </c>
      <c r="J12" s="14" t="n">
        <v>24</v>
      </c>
      <c r="K12" s="14" t="n">
        <v>115</v>
      </c>
      <c r="U12" s="8" t="s">
        <v>16</v>
      </c>
      <c r="V12" s="8" t="s">
        <v>21</v>
      </c>
      <c r="W12" s="8" t="n">
        <v>189</v>
      </c>
      <c r="X12" s="8" t="n">
        <v>295123</v>
      </c>
      <c r="Y12" s="8" t="n">
        <v>4012</v>
      </c>
      <c r="Z12" s="8" t="n">
        <v>3965</v>
      </c>
      <c r="AA12" s="8" t="n">
        <v>1757</v>
      </c>
      <c r="AB12" s="8" t="n">
        <v>5722</v>
      </c>
      <c r="AC12" s="8" t="n">
        <v>16</v>
      </c>
    </row>
    <row r="13" customFormat="false" ht="14.25" hidden="false" customHeight="false" outlineLevel="0" collapsed="false">
      <c r="A13" s="9" t="s">
        <v>16</v>
      </c>
      <c r="B13" s="10" t="s">
        <v>43</v>
      </c>
      <c r="C13" s="10" t="s">
        <v>44</v>
      </c>
      <c r="D13" s="10" t="s">
        <v>45</v>
      </c>
      <c r="E13" s="11" t="n">
        <v>116</v>
      </c>
      <c r="F13" s="12" t="n">
        <v>171421.78</v>
      </c>
      <c r="G13" s="10" t="n">
        <v>10</v>
      </c>
      <c r="H13" s="10" t="n">
        <v>2563</v>
      </c>
      <c r="I13" s="14" t="n">
        <v>2232</v>
      </c>
      <c r="J13" s="14" t="n">
        <v>774</v>
      </c>
      <c r="K13" s="14" t="n">
        <v>3006</v>
      </c>
      <c r="U13" s="8" t="s">
        <v>16</v>
      </c>
      <c r="V13" s="8" t="s">
        <v>43</v>
      </c>
      <c r="W13" s="8" t="n">
        <v>234</v>
      </c>
      <c r="X13" s="8" t="n">
        <v>359524.78</v>
      </c>
      <c r="Y13" s="8" t="n">
        <v>5519</v>
      </c>
      <c r="Z13" s="8" t="n">
        <v>4554</v>
      </c>
      <c r="AA13" s="8" t="n">
        <v>1565</v>
      </c>
      <c r="AB13" s="8" t="n">
        <v>6119</v>
      </c>
      <c r="AC13" s="8" t="n">
        <v>20</v>
      </c>
    </row>
    <row r="14" customFormat="false" ht="14.25" hidden="false" customHeight="false" outlineLevel="0" collapsed="false">
      <c r="A14" s="9" t="s">
        <v>16</v>
      </c>
      <c r="B14" s="10" t="s">
        <v>46</v>
      </c>
      <c r="C14" s="10" t="s">
        <v>44</v>
      </c>
      <c r="D14" s="10" t="s">
        <v>47</v>
      </c>
      <c r="E14" s="11" t="n">
        <v>5</v>
      </c>
      <c r="F14" s="12" t="n">
        <v>59317</v>
      </c>
      <c r="G14" s="10" t="n">
        <v>3</v>
      </c>
      <c r="H14" s="10" t="n">
        <v>621</v>
      </c>
      <c r="I14" s="14" t="n">
        <v>576</v>
      </c>
      <c r="J14" s="14" t="n">
        <v>195</v>
      </c>
      <c r="K14" s="14" t="n">
        <v>771</v>
      </c>
      <c r="U14" s="8" t="s">
        <v>16</v>
      </c>
      <c r="V14" s="8" t="s">
        <v>48</v>
      </c>
      <c r="W14" s="8" t="n">
        <v>79</v>
      </c>
      <c r="X14" s="8" t="n">
        <v>114921</v>
      </c>
      <c r="Y14" s="8" t="n">
        <v>1558</v>
      </c>
      <c r="Z14" s="8" t="n">
        <v>1364</v>
      </c>
      <c r="AA14" s="8" t="n">
        <v>206</v>
      </c>
      <c r="AB14" s="8" t="n">
        <v>1570</v>
      </c>
      <c r="AC14" s="8" t="n">
        <v>2</v>
      </c>
    </row>
    <row r="15" customFormat="false" ht="14.25" hidden="false" customHeight="false" outlineLevel="0" collapsed="false">
      <c r="A15" s="9" t="s">
        <v>14</v>
      </c>
      <c r="B15" s="10" t="s">
        <v>20</v>
      </c>
      <c r="C15" s="10" t="s">
        <v>49</v>
      </c>
      <c r="D15" s="10" t="s">
        <v>35</v>
      </c>
      <c r="E15" s="11" t="n">
        <v>33</v>
      </c>
      <c r="F15" s="12" t="n">
        <v>48778</v>
      </c>
      <c r="G15" s="10" t="n">
        <v>5</v>
      </c>
      <c r="H15" s="10" t="n">
        <v>715</v>
      </c>
      <c r="I15" s="14" t="n">
        <v>700</v>
      </c>
      <c r="J15" s="14" t="n">
        <v>136</v>
      </c>
      <c r="K15" s="14" t="n">
        <v>836</v>
      </c>
      <c r="U15" s="8" t="s">
        <v>16</v>
      </c>
      <c r="V15" s="8" t="s">
        <v>46</v>
      </c>
      <c r="W15" s="8" t="n">
        <v>60</v>
      </c>
      <c r="X15" s="8" t="n">
        <v>213469</v>
      </c>
      <c r="Y15" s="8" t="n">
        <v>3060</v>
      </c>
      <c r="Z15" s="8" t="n">
        <v>3154</v>
      </c>
      <c r="AA15" s="8" t="n">
        <v>1188</v>
      </c>
      <c r="AB15" s="8" t="n">
        <v>4342</v>
      </c>
      <c r="AC15" s="8" t="n">
        <v>12</v>
      </c>
    </row>
    <row r="16" customFormat="false" ht="14.25" hidden="false" customHeight="false" outlineLevel="0" collapsed="false">
      <c r="A16" s="9" t="s">
        <v>14</v>
      </c>
      <c r="B16" s="10" t="s">
        <v>29</v>
      </c>
      <c r="C16" s="10" t="s">
        <v>49</v>
      </c>
      <c r="D16" s="10" t="s">
        <v>39</v>
      </c>
      <c r="E16" s="11" t="n">
        <v>42</v>
      </c>
      <c r="F16" s="12" t="n">
        <v>51531</v>
      </c>
      <c r="G16" s="10" t="n">
        <v>5</v>
      </c>
      <c r="H16" s="10" t="n">
        <v>732</v>
      </c>
      <c r="I16" s="14" t="n">
        <v>663</v>
      </c>
      <c r="J16" s="14" t="n">
        <v>94</v>
      </c>
      <c r="K16" s="14" t="n">
        <v>757</v>
      </c>
      <c r="U16" s="8" t="s">
        <v>16</v>
      </c>
      <c r="V16" s="8" t="s">
        <v>17</v>
      </c>
      <c r="W16" s="8" t="n">
        <v>54</v>
      </c>
      <c r="X16" s="8" t="n">
        <v>200416</v>
      </c>
      <c r="Y16" s="8" t="n">
        <v>3277</v>
      </c>
      <c r="Z16" s="8" t="n">
        <v>3167</v>
      </c>
      <c r="AA16" s="8" t="n">
        <v>1234</v>
      </c>
      <c r="AB16" s="8" t="n">
        <v>4401</v>
      </c>
      <c r="AC16" s="8" t="n">
        <v>10</v>
      </c>
    </row>
    <row r="17" customFormat="false" ht="14.25" hidden="false" customHeight="false" outlineLevel="0" collapsed="false">
      <c r="A17" s="9" t="s">
        <v>14</v>
      </c>
      <c r="B17" s="10" t="s">
        <v>20</v>
      </c>
      <c r="C17" s="10" t="s">
        <v>50</v>
      </c>
      <c r="D17" s="10" t="s">
        <v>35</v>
      </c>
      <c r="E17" s="11" t="n">
        <v>30</v>
      </c>
      <c r="F17" s="12" t="n">
        <v>32901</v>
      </c>
      <c r="G17" s="10" t="n">
        <v>0</v>
      </c>
      <c r="H17" s="10" t="n">
        <v>377</v>
      </c>
      <c r="I17" s="14" t="n">
        <v>292</v>
      </c>
      <c r="J17" s="14" t="n">
        <v>65</v>
      </c>
      <c r="K17" s="14" t="n">
        <v>357</v>
      </c>
      <c r="U17" s="4" t="s">
        <v>51</v>
      </c>
      <c r="V17" s="4"/>
      <c r="W17" s="4" t="n">
        <v>2219</v>
      </c>
      <c r="X17" s="4" t="n">
        <v>3429557.53</v>
      </c>
      <c r="Y17" s="4" t="n">
        <v>48510</v>
      </c>
      <c r="Z17" s="4" t="n">
        <v>46080</v>
      </c>
      <c r="AA17" s="4" t="n">
        <v>16085</v>
      </c>
      <c r="AB17" s="4" t="n">
        <v>62165</v>
      </c>
      <c r="AC17" s="4" t="n">
        <v>184</v>
      </c>
    </row>
    <row r="18" customFormat="false" ht="14.25" hidden="false" customHeight="false" outlineLevel="0" collapsed="false">
      <c r="A18" s="9" t="s">
        <v>14</v>
      </c>
      <c r="B18" s="10" t="s">
        <v>20</v>
      </c>
      <c r="C18" s="10" t="s">
        <v>52</v>
      </c>
      <c r="D18" s="10" t="s">
        <v>35</v>
      </c>
      <c r="E18" s="11" t="n">
        <v>14</v>
      </c>
      <c r="F18" s="12" t="n">
        <v>14270</v>
      </c>
      <c r="G18" s="10" t="n">
        <v>1</v>
      </c>
      <c r="H18" s="10" t="n">
        <v>161</v>
      </c>
      <c r="I18" s="14" t="n">
        <v>152</v>
      </c>
      <c r="J18" s="14" t="n">
        <v>34</v>
      </c>
      <c r="K18" s="14" t="n">
        <v>186</v>
      </c>
    </row>
    <row r="19" customFormat="false" ht="14.25" hidden="false" customHeight="false" outlineLevel="0" collapsed="false">
      <c r="A19" s="9" t="s">
        <v>16</v>
      </c>
      <c r="B19" s="10" t="s">
        <v>21</v>
      </c>
      <c r="C19" s="10" t="s">
        <v>53</v>
      </c>
      <c r="D19" s="10" t="s">
        <v>23</v>
      </c>
      <c r="E19" s="11" t="n">
        <v>47</v>
      </c>
      <c r="F19" s="12" t="n">
        <v>57250</v>
      </c>
      <c r="G19" s="10" t="n">
        <v>2</v>
      </c>
      <c r="H19" s="10" t="n">
        <v>770</v>
      </c>
      <c r="I19" s="14" t="n">
        <v>801</v>
      </c>
      <c r="J19" s="14" t="n">
        <v>367</v>
      </c>
      <c r="K19" s="14" t="n">
        <v>1168</v>
      </c>
    </row>
    <row r="20" customFormat="false" ht="14.25" hidden="false" customHeight="false" outlineLevel="0" collapsed="false">
      <c r="A20" s="9" t="s">
        <v>16</v>
      </c>
      <c r="B20" s="10" t="s">
        <v>40</v>
      </c>
      <c r="C20" s="10" t="s">
        <v>54</v>
      </c>
      <c r="D20" s="10" t="s">
        <v>42</v>
      </c>
      <c r="E20" s="11" t="n">
        <v>103</v>
      </c>
      <c r="F20" s="12" t="n">
        <v>166633</v>
      </c>
      <c r="G20" s="10" t="n">
        <v>5</v>
      </c>
      <c r="H20" s="10" t="n">
        <v>2401</v>
      </c>
      <c r="I20" s="14" t="n">
        <v>1949</v>
      </c>
      <c r="J20" s="14" t="n">
        <v>721</v>
      </c>
      <c r="K20" s="14" t="n">
        <v>2670</v>
      </c>
    </row>
    <row r="21" customFormat="false" ht="14.25" hidden="false" customHeight="false" outlineLevel="0" collapsed="false">
      <c r="A21" s="9" t="s">
        <v>16</v>
      </c>
      <c r="B21" s="10" t="s">
        <v>17</v>
      </c>
      <c r="C21" s="10" t="s">
        <v>54</v>
      </c>
      <c r="D21" s="10" t="s">
        <v>19</v>
      </c>
      <c r="E21" s="11" t="n">
        <v>22</v>
      </c>
      <c r="F21" s="12" t="n">
        <v>76242</v>
      </c>
      <c r="G21" s="10" t="n">
        <v>2</v>
      </c>
      <c r="H21" s="10" t="n">
        <v>1088</v>
      </c>
      <c r="I21" s="14" t="n">
        <v>988</v>
      </c>
      <c r="J21" s="14" t="n">
        <v>367</v>
      </c>
      <c r="K21" s="14" t="n">
        <v>1355</v>
      </c>
    </row>
    <row r="22" customFormat="false" ht="14.25" hidden="false" customHeight="false" outlineLevel="0" collapsed="false">
      <c r="A22" s="9" t="s">
        <v>16</v>
      </c>
      <c r="B22" s="10" t="s">
        <v>37</v>
      </c>
      <c r="C22" s="10" t="s">
        <v>55</v>
      </c>
      <c r="D22" s="10" t="s">
        <v>56</v>
      </c>
      <c r="E22" s="11" t="n">
        <v>108</v>
      </c>
      <c r="F22" s="12" t="n">
        <v>142677</v>
      </c>
      <c r="G22" s="10" t="n">
        <v>7</v>
      </c>
      <c r="H22" s="10" t="n">
        <v>2043</v>
      </c>
      <c r="I22" s="14" t="n">
        <v>1901</v>
      </c>
      <c r="J22" s="14" t="n">
        <v>991</v>
      </c>
      <c r="K22" s="14" t="n">
        <v>2892</v>
      </c>
    </row>
    <row r="23" customFormat="false" ht="14.25" hidden="false" customHeight="false" outlineLevel="0" collapsed="false">
      <c r="A23" s="9" t="s">
        <v>14</v>
      </c>
      <c r="B23" s="10" t="s">
        <v>15</v>
      </c>
      <c r="C23" s="10" t="s">
        <v>57</v>
      </c>
      <c r="D23" s="10" t="s">
        <v>58</v>
      </c>
      <c r="E23" s="11" t="n">
        <v>91</v>
      </c>
      <c r="F23" s="12" t="n">
        <v>150430</v>
      </c>
      <c r="G23" s="10" t="n">
        <v>18</v>
      </c>
      <c r="H23" s="10" t="n">
        <v>2408</v>
      </c>
      <c r="I23" s="14" t="n">
        <v>2157</v>
      </c>
      <c r="J23" s="14" t="n">
        <v>887</v>
      </c>
      <c r="K23" s="14" t="n">
        <v>3044</v>
      </c>
    </row>
    <row r="24" customFormat="false" ht="14.25" hidden="false" customHeight="false" outlineLevel="0" collapsed="false">
      <c r="A24" s="9" t="s">
        <v>16</v>
      </c>
      <c r="B24" s="10" t="s">
        <v>40</v>
      </c>
      <c r="C24" s="10" t="s">
        <v>59</v>
      </c>
      <c r="D24" s="10" t="s">
        <v>42</v>
      </c>
      <c r="E24" s="11" t="n">
        <v>66</v>
      </c>
      <c r="F24" s="12" t="n">
        <v>93438</v>
      </c>
      <c r="G24" s="10" t="n">
        <v>3</v>
      </c>
      <c r="H24" s="10" t="n">
        <v>1396</v>
      </c>
      <c r="I24" s="14" t="n">
        <v>981</v>
      </c>
      <c r="J24" s="14" t="n">
        <v>282</v>
      </c>
      <c r="K24" s="14" t="n">
        <v>1263</v>
      </c>
    </row>
    <row r="25" customFormat="false" ht="14.25" hidden="false" customHeight="false" outlineLevel="0" collapsed="false">
      <c r="A25" s="9" t="s">
        <v>16</v>
      </c>
      <c r="B25" s="10" t="s">
        <v>43</v>
      </c>
      <c r="C25" s="10" t="s">
        <v>59</v>
      </c>
      <c r="D25" s="10" t="s">
        <v>45</v>
      </c>
      <c r="E25" s="11" t="n">
        <v>118</v>
      </c>
      <c r="F25" s="12" t="n">
        <v>188103</v>
      </c>
      <c r="G25" s="10" t="n">
        <v>10</v>
      </c>
      <c r="H25" s="10" t="n">
        <v>2956</v>
      </c>
      <c r="I25" s="14" t="n">
        <v>2322</v>
      </c>
      <c r="J25" s="14" t="n">
        <v>791</v>
      </c>
      <c r="K25" s="14" t="n">
        <v>3113</v>
      </c>
    </row>
    <row r="26" customFormat="false" ht="14.25" hidden="false" customHeight="false" outlineLevel="0" collapsed="false">
      <c r="A26" s="9" t="s">
        <v>16</v>
      </c>
      <c r="B26" s="10" t="s">
        <v>46</v>
      </c>
      <c r="C26" s="10" t="s">
        <v>59</v>
      </c>
      <c r="D26" s="10" t="s">
        <v>47</v>
      </c>
      <c r="E26" s="11" t="n">
        <v>37</v>
      </c>
      <c r="F26" s="12" t="n">
        <v>95962</v>
      </c>
      <c r="G26" s="10" t="n">
        <v>6</v>
      </c>
      <c r="H26" s="10" t="n">
        <v>1566</v>
      </c>
      <c r="I26" s="14" t="n">
        <v>1457</v>
      </c>
      <c r="J26" s="14" t="n">
        <v>602</v>
      </c>
      <c r="K26" s="14" t="n">
        <v>2059</v>
      </c>
    </row>
    <row r="27" customFormat="false" ht="14.25" hidden="false" customHeight="false" outlineLevel="0" collapsed="false">
      <c r="A27" s="9" t="s">
        <v>16</v>
      </c>
      <c r="B27" s="10" t="s">
        <v>46</v>
      </c>
      <c r="C27" s="10" t="s">
        <v>60</v>
      </c>
      <c r="D27" s="10" t="s">
        <v>47</v>
      </c>
      <c r="E27" s="11" t="n">
        <v>18</v>
      </c>
      <c r="F27" s="12" t="n">
        <v>58190</v>
      </c>
      <c r="G27" s="10" t="n">
        <v>3</v>
      </c>
      <c r="H27" s="10" t="n">
        <v>873</v>
      </c>
      <c r="I27" s="14" t="n">
        <v>1121</v>
      </c>
      <c r="J27" s="14" t="n">
        <v>391</v>
      </c>
      <c r="K27" s="14" t="n">
        <v>1512</v>
      </c>
    </row>
    <row r="28" customFormat="false" ht="14.25" hidden="false" customHeight="false" outlineLevel="0" collapsed="false">
      <c r="A28" s="9" t="s">
        <v>14</v>
      </c>
      <c r="B28" s="10" t="s">
        <v>25</v>
      </c>
      <c r="C28" s="10" t="s">
        <v>61</v>
      </c>
      <c r="D28" s="10" t="s">
        <v>27</v>
      </c>
      <c r="E28" s="11" t="n">
        <v>5</v>
      </c>
      <c r="F28" s="12" t="n">
        <v>5218</v>
      </c>
      <c r="G28" s="10" t="n">
        <v>1</v>
      </c>
      <c r="H28" s="10" t="n">
        <v>62</v>
      </c>
      <c r="I28" s="14" t="n">
        <v>51</v>
      </c>
      <c r="J28" s="14" t="n">
        <v>12</v>
      </c>
      <c r="K28" s="14" t="n">
        <v>63</v>
      </c>
    </row>
    <row r="29" customFormat="false" ht="14.25" hidden="false" customHeight="false" outlineLevel="0" collapsed="false">
      <c r="A29" s="9" t="s">
        <v>14</v>
      </c>
      <c r="B29" s="10" t="s">
        <v>25</v>
      </c>
      <c r="C29" s="10" t="s">
        <v>62</v>
      </c>
      <c r="D29" s="10" t="s">
        <v>27</v>
      </c>
      <c r="E29" s="11" t="n">
        <v>6</v>
      </c>
      <c r="F29" s="12" t="n">
        <v>8496</v>
      </c>
      <c r="G29" s="10" t="n">
        <v>0</v>
      </c>
      <c r="H29" s="10" t="n">
        <v>74</v>
      </c>
      <c r="I29" s="14" t="n">
        <v>34</v>
      </c>
      <c r="J29" s="14" t="n">
        <v>3</v>
      </c>
      <c r="K29" s="14" t="n">
        <v>37</v>
      </c>
    </row>
    <row r="30" customFormat="false" ht="14.25" hidden="false" customHeight="false" outlineLevel="0" collapsed="false">
      <c r="A30" s="9" t="s">
        <v>14</v>
      </c>
      <c r="B30" s="10" t="s">
        <v>25</v>
      </c>
      <c r="C30" s="10" t="s">
        <v>63</v>
      </c>
      <c r="D30" s="10" t="s">
        <v>27</v>
      </c>
      <c r="E30" s="11" t="n">
        <v>2</v>
      </c>
      <c r="F30" s="12" t="n">
        <v>2080</v>
      </c>
      <c r="G30" s="10" t="n">
        <v>0</v>
      </c>
      <c r="H30" s="10" t="n">
        <v>20</v>
      </c>
      <c r="I30" s="14" t="n">
        <v>21</v>
      </c>
      <c r="J30" s="14" t="n">
        <v>1</v>
      </c>
      <c r="K30" s="14" t="n">
        <v>22</v>
      </c>
    </row>
    <row r="31" customFormat="false" ht="14.25" hidden="false" customHeight="false" outlineLevel="0" collapsed="false">
      <c r="A31" s="9" t="s">
        <v>16</v>
      </c>
      <c r="B31" s="10" t="s">
        <v>48</v>
      </c>
      <c r="C31" s="10" t="s">
        <v>64</v>
      </c>
      <c r="D31" s="10" t="s">
        <v>65</v>
      </c>
      <c r="E31" s="11" t="n">
        <v>79</v>
      </c>
      <c r="F31" s="12" t="n">
        <v>114921</v>
      </c>
      <c r="G31" s="10" t="n">
        <v>2</v>
      </c>
      <c r="H31" s="10" t="n">
        <v>1558</v>
      </c>
      <c r="I31" s="14" t="n">
        <v>1364</v>
      </c>
      <c r="J31" s="14" t="n">
        <v>206</v>
      </c>
      <c r="K31" s="14" t="n">
        <v>1570</v>
      </c>
    </row>
    <row r="32" customFormat="false" ht="14.25" hidden="false" customHeight="false" outlineLevel="0" collapsed="false">
      <c r="A32" s="9" t="s">
        <v>16</v>
      </c>
      <c r="B32" s="10" t="s">
        <v>37</v>
      </c>
      <c r="C32" s="10" t="s">
        <v>66</v>
      </c>
      <c r="D32" s="10" t="s">
        <v>56</v>
      </c>
      <c r="E32" s="11" t="n">
        <v>4</v>
      </c>
      <c r="F32" s="12" t="n">
        <v>8000</v>
      </c>
      <c r="G32" s="10" t="n">
        <v>0</v>
      </c>
      <c r="H32" s="10" t="n">
        <v>130</v>
      </c>
      <c r="I32" s="14" t="n">
        <v>119</v>
      </c>
      <c r="J32" s="14" t="n">
        <v>42</v>
      </c>
      <c r="K32" s="14" t="n">
        <v>161</v>
      </c>
    </row>
    <row r="33" customFormat="false" ht="14.25" hidden="false" customHeight="false" outlineLevel="0" collapsed="false">
      <c r="A33" s="9" t="s">
        <v>16</v>
      </c>
      <c r="B33" s="10" t="s">
        <v>21</v>
      </c>
      <c r="C33" s="10" t="s">
        <v>66</v>
      </c>
      <c r="D33" s="10" t="s">
        <v>23</v>
      </c>
      <c r="E33" s="11" t="n">
        <v>1</v>
      </c>
      <c r="F33" s="12" t="n">
        <v>1300</v>
      </c>
      <c r="G33" s="10" t="n">
        <v>0</v>
      </c>
      <c r="H33" s="10" t="n">
        <v>14</v>
      </c>
      <c r="I33" s="14" t="n">
        <v>9</v>
      </c>
      <c r="J33" s="14" t="n">
        <v>2</v>
      </c>
      <c r="K33" s="14" t="n">
        <v>11</v>
      </c>
    </row>
    <row r="34" customFormat="false" ht="14.25" hidden="false" customHeight="false" outlineLevel="0" collapsed="false">
      <c r="A34" s="9" t="s">
        <v>14</v>
      </c>
      <c r="B34" s="10" t="s">
        <v>20</v>
      </c>
      <c r="C34" s="10" t="s">
        <v>67</v>
      </c>
      <c r="D34" s="10" t="s">
        <v>35</v>
      </c>
      <c r="E34" s="11" t="n">
        <v>96</v>
      </c>
      <c r="F34" s="12" t="n">
        <v>149619</v>
      </c>
      <c r="G34" s="10" t="n">
        <v>8</v>
      </c>
      <c r="H34" s="10" t="n">
        <v>1939</v>
      </c>
      <c r="I34" s="14" t="n">
        <v>1706</v>
      </c>
      <c r="J34" s="14" t="n">
        <v>375</v>
      </c>
      <c r="K34" s="14" t="n">
        <v>2081</v>
      </c>
    </row>
    <row r="35" customFormat="false" ht="14.25" hidden="false" customHeight="false" outlineLevel="0" collapsed="false">
      <c r="A35" s="9" t="s">
        <v>14</v>
      </c>
      <c r="B35" s="10" t="s">
        <v>15</v>
      </c>
      <c r="C35" s="10" t="s">
        <v>68</v>
      </c>
      <c r="D35" s="10" t="s">
        <v>58</v>
      </c>
      <c r="E35" s="11" t="n">
        <v>138</v>
      </c>
      <c r="F35" s="12" t="n">
        <v>201733.75</v>
      </c>
      <c r="G35" s="10" t="n">
        <v>18</v>
      </c>
      <c r="H35" s="10" t="n">
        <v>2982</v>
      </c>
      <c r="I35" s="14" t="n">
        <v>2666</v>
      </c>
      <c r="J35" s="14" t="n">
        <v>1977</v>
      </c>
      <c r="K35" s="14" t="n">
        <v>4643</v>
      </c>
    </row>
    <row r="36" customFormat="false" ht="14.25" hidden="false" customHeight="false" outlineLevel="0" collapsed="false">
      <c r="A36" s="9" t="s">
        <v>14</v>
      </c>
      <c r="B36" s="10" t="s">
        <v>25</v>
      </c>
      <c r="C36" s="10" t="s">
        <v>69</v>
      </c>
      <c r="D36" s="10" t="s">
        <v>27</v>
      </c>
      <c r="E36" s="11" t="n">
        <v>6</v>
      </c>
      <c r="F36" s="12" t="n">
        <v>4895</v>
      </c>
      <c r="G36" s="10" t="n">
        <v>0</v>
      </c>
      <c r="H36" s="10" t="n">
        <v>40</v>
      </c>
      <c r="I36" s="14" t="n">
        <v>46</v>
      </c>
      <c r="J36" s="14" t="n">
        <v>12</v>
      </c>
      <c r="K36" s="14" t="n">
        <v>58</v>
      </c>
    </row>
    <row r="37" customFormat="false" ht="14.25" hidden="false" customHeight="false" outlineLevel="0" collapsed="false">
      <c r="A37" s="9" t="s">
        <v>16</v>
      </c>
      <c r="B37" s="10" t="s">
        <v>37</v>
      </c>
      <c r="C37" s="10" t="s">
        <v>70</v>
      </c>
      <c r="D37" s="10" t="s">
        <v>56</v>
      </c>
      <c r="E37" s="11" t="n">
        <v>126</v>
      </c>
      <c r="F37" s="12" t="n">
        <v>211475</v>
      </c>
      <c r="G37" s="10" t="n">
        <v>9</v>
      </c>
      <c r="H37" s="10" t="n">
        <v>3261</v>
      </c>
      <c r="I37" s="14" t="n">
        <v>2909</v>
      </c>
      <c r="J37" s="14" t="n">
        <v>1334</v>
      </c>
      <c r="K37" s="14" t="n">
        <v>4243</v>
      </c>
    </row>
    <row r="38" customFormat="false" ht="14.25" hidden="false" customHeight="false" outlineLevel="0" collapsed="false">
      <c r="A38" s="9" t="s">
        <v>16</v>
      </c>
      <c r="B38" s="10" t="s">
        <v>17</v>
      </c>
      <c r="C38" s="10" t="s">
        <v>70</v>
      </c>
      <c r="D38" s="10" t="s">
        <v>19</v>
      </c>
      <c r="E38" s="11" t="n">
        <v>13</v>
      </c>
      <c r="F38" s="12" t="n">
        <v>69148</v>
      </c>
      <c r="G38" s="10" t="n">
        <v>3</v>
      </c>
      <c r="H38" s="10" t="n">
        <v>1289</v>
      </c>
      <c r="I38" s="14" t="n">
        <v>922</v>
      </c>
      <c r="J38" s="14" t="n">
        <v>376</v>
      </c>
      <c r="K38" s="14" t="n">
        <v>1298</v>
      </c>
    </row>
    <row r="39" customFormat="false" ht="14.25" hidden="false" customHeight="false" outlineLevel="0" collapsed="false">
      <c r="A39" s="9" t="s">
        <v>16</v>
      </c>
      <c r="B39" s="10" t="s">
        <v>40</v>
      </c>
      <c r="C39" s="10" t="s">
        <v>71</v>
      </c>
      <c r="D39" s="10" t="s">
        <v>42</v>
      </c>
      <c r="E39" s="11" t="n">
        <v>63</v>
      </c>
      <c r="F39" s="12" t="n">
        <v>83883</v>
      </c>
      <c r="G39" s="10" t="n">
        <v>3</v>
      </c>
      <c r="H39" s="10" t="n">
        <v>1110</v>
      </c>
      <c r="I39" s="14" t="n">
        <v>1002</v>
      </c>
      <c r="J39" s="14" t="n">
        <v>163</v>
      </c>
      <c r="K39" s="14" t="n">
        <v>1165</v>
      </c>
    </row>
    <row r="40" customFormat="false" ht="14.25" hidden="false" customHeight="false" outlineLevel="0" collapsed="false">
      <c r="A40" s="9" t="s">
        <v>16</v>
      </c>
      <c r="B40" s="10" t="s">
        <v>17</v>
      </c>
      <c r="C40" s="10" t="s">
        <v>71</v>
      </c>
      <c r="D40" s="10" t="s">
        <v>19</v>
      </c>
      <c r="E40" s="11" t="n">
        <v>18</v>
      </c>
      <c r="F40" s="12" t="n">
        <v>54226</v>
      </c>
      <c r="G40" s="10" t="n">
        <v>4</v>
      </c>
      <c r="H40" s="10" t="n">
        <v>888</v>
      </c>
      <c r="I40" s="14" t="n">
        <v>1250</v>
      </c>
      <c r="J40" s="14" t="n">
        <v>490</v>
      </c>
      <c r="K40" s="14" t="n">
        <v>1740</v>
      </c>
    </row>
    <row r="41" customFormat="false" ht="14.25" hidden="false" customHeight="false" outlineLevel="0" collapsed="false">
      <c r="A41" s="9" t="s">
        <v>14</v>
      </c>
      <c r="B41" s="10" t="s">
        <v>25</v>
      </c>
      <c r="C41" s="10" t="s">
        <v>72</v>
      </c>
      <c r="D41" s="10" t="s">
        <v>27</v>
      </c>
      <c r="E41" s="11" t="n">
        <v>8</v>
      </c>
      <c r="F41" s="12" t="n">
        <v>9055</v>
      </c>
      <c r="G41" s="10" t="n">
        <v>0</v>
      </c>
      <c r="H41" s="10" t="n">
        <v>107</v>
      </c>
      <c r="I41" s="14" t="n">
        <v>100</v>
      </c>
      <c r="J41" s="14" t="n">
        <v>8</v>
      </c>
      <c r="K41" s="14" t="n">
        <v>108</v>
      </c>
    </row>
    <row r="42" customFormat="false" ht="14.25" hidden="false" customHeight="false" outlineLevel="0" collapsed="false">
      <c r="A42" s="9" t="s">
        <v>14</v>
      </c>
      <c r="B42" s="10" t="s">
        <v>24</v>
      </c>
      <c r="C42" s="10" t="s">
        <v>73</v>
      </c>
      <c r="D42" s="10" t="s">
        <v>74</v>
      </c>
      <c r="E42" s="11" t="n">
        <v>222</v>
      </c>
      <c r="F42" s="12" t="n">
        <v>255263</v>
      </c>
      <c r="G42" s="10" t="n">
        <v>14</v>
      </c>
      <c r="H42" s="10" t="n">
        <v>2895</v>
      </c>
      <c r="I42" s="14" t="n">
        <v>3162</v>
      </c>
      <c r="J42" s="14" t="n">
        <v>748</v>
      </c>
      <c r="K42" s="14" t="n">
        <v>3910</v>
      </c>
    </row>
    <row r="43" customFormat="false" ht="14.25" hidden="false" customHeight="false" outlineLevel="0" collapsed="false">
      <c r="A43" s="9" t="s">
        <v>14</v>
      </c>
      <c r="B43" s="10" t="s">
        <v>29</v>
      </c>
      <c r="C43" s="10" t="s">
        <v>73</v>
      </c>
      <c r="D43" s="10" t="s">
        <v>39</v>
      </c>
      <c r="E43" s="11" t="n">
        <v>12</v>
      </c>
      <c r="F43" s="12" t="n">
        <v>31334</v>
      </c>
      <c r="G43" s="10" t="n">
        <v>4</v>
      </c>
      <c r="H43" s="10" t="n">
        <v>385</v>
      </c>
      <c r="I43" s="14" t="n">
        <v>493</v>
      </c>
      <c r="J43" s="14" t="n">
        <v>257</v>
      </c>
      <c r="K43" s="14" t="n">
        <v>750</v>
      </c>
    </row>
    <row r="44" customFormat="false" ht="14.25" hidden="false" customHeight="false" outlineLevel="0" collapsed="false">
      <c r="A44" s="9" t="s">
        <v>14</v>
      </c>
      <c r="B44" s="10" t="s">
        <v>30</v>
      </c>
      <c r="C44" s="10" t="s">
        <v>73</v>
      </c>
      <c r="D44" s="10" t="s">
        <v>32</v>
      </c>
      <c r="E44" s="11" t="n">
        <v>64</v>
      </c>
      <c r="F44" s="12" t="n">
        <v>79580</v>
      </c>
      <c r="G44" s="10" t="n">
        <v>5</v>
      </c>
      <c r="H44" s="10" t="n">
        <v>907</v>
      </c>
      <c r="I44" s="14" t="n">
        <v>1076</v>
      </c>
      <c r="J44" s="14" t="n">
        <v>223</v>
      </c>
      <c r="K44" s="14" t="n">
        <v>1299</v>
      </c>
    </row>
    <row r="45" customFormat="false" ht="14.25" hidden="false" customHeight="false" outlineLevel="0" collapsed="false">
      <c r="A45" s="9" t="s">
        <v>14</v>
      </c>
      <c r="B45" s="10" t="s">
        <v>29</v>
      </c>
      <c r="C45" s="10" t="s">
        <v>75</v>
      </c>
      <c r="D45" s="10" t="s">
        <v>39</v>
      </c>
      <c r="E45" s="11" t="n">
        <v>31</v>
      </c>
      <c r="F45" s="12" t="n">
        <v>39114</v>
      </c>
      <c r="G45" s="10" t="n">
        <v>3</v>
      </c>
      <c r="H45" s="10" t="n">
        <v>596</v>
      </c>
      <c r="I45" s="14" t="n">
        <v>502</v>
      </c>
      <c r="J45" s="14" t="n">
        <v>43</v>
      </c>
      <c r="K45" s="14" t="n">
        <v>545</v>
      </c>
    </row>
    <row r="46" customFormat="false" ht="14.25" hidden="false" customHeight="false" outlineLevel="0" collapsed="false">
      <c r="A46" s="9" t="s">
        <v>14</v>
      </c>
      <c r="B46" s="10" t="s">
        <v>25</v>
      </c>
      <c r="C46" s="10" t="s">
        <v>76</v>
      </c>
      <c r="D46" s="10" t="s">
        <v>27</v>
      </c>
      <c r="E46" s="11" t="n">
        <v>45</v>
      </c>
      <c r="F46" s="12" t="n">
        <v>56972</v>
      </c>
      <c r="G46" s="10" t="n">
        <v>2</v>
      </c>
      <c r="H46" s="10" t="n">
        <v>696</v>
      </c>
      <c r="I46" s="14" t="n">
        <v>629</v>
      </c>
      <c r="J46" s="14" t="n">
        <v>223</v>
      </c>
      <c r="K46" s="14" t="n">
        <v>852</v>
      </c>
    </row>
    <row r="47" customFormat="false" ht="14.25" hidden="false" customHeight="false" outlineLevel="0" collapsed="false">
      <c r="A47" s="15" t="s">
        <v>14</v>
      </c>
      <c r="B47" s="16" t="s">
        <v>33</v>
      </c>
      <c r="C47" s="16" t="s">
        <v>76</v>
      </c>
      <c r="D47" s="16" t="s">
        <v>77</v>
      </c>
      <c r="E47" s="17" t="n">
        <v>68</v>
      </c>
      <c r="F47" s="18" t="n">
        <v>108079</v>
      </c>
      <c r="G47" s="16" t="n">
        <v>3</v>
      </c>
      <c r="H47" s="16" t="n">
        <v>1699</v>
      </c>
      <c r="I47" s="14" t="n">
        <v>1708</v>
      </c>
      <c r="J47" s="14" t="n">
        <v>422</v>
      </c>
      <c r="K47" s="14" t="n">
        <v>2130</v>
      </c>
    </row>
  </sheetData>
  <mergeCells count="1">
    <mergeCell ref="U17:V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1" width="2.54"/>
    <col collapsed="false" customWidth="true" hidden="false" outlineLevel="0" max="2" min="2" style="1" width="8.82"/>
    <col collapsed="false" customWidth="true" hidden="false" outlineLevel="0" max="3" min="3" style="1" width="39.09"/>
    <col collapsed="false" customWidth="true" hidden="false" outlineLevel="0" max="4" min="4" style="1" width="24.04"/>
    <col collapsed="false" customWidth="true" hidden="false" outlineLevel="0" max="5" min="5" style="1" width="24.34"/>
    <col collapsed="false" customWidth="true" hidden="false" outlineLevel="0" max="6" min="6" style="1" width="21.01"/>
    <col collapsed="false" customWidth="true" hidden="false" outlineLevel="0" max="7" min="7" style="1" width="33.36"/>
    <col collapsed="false" customWidth="true" hidden="false" outlineLevel="0" max="9" min="8" style="1" width="26.54"/>
    <col collapsed="false" customWidth="true" hidden="false" outlineLevel="0" max="10" min="10" style="1" width="23.54"/>
    <col collapsed="false" customWidth="true" hidden="false" outlineLevel="0" max="11" min="11" style="1" width="32.63"/>
    <col collapsed="false" customWidth="true" hidden="false" outlineLevel="0" max="12" min="12" style="1" width="26.54"/>
    <col collapsed="false" customWidth="true" hidden="false" outlineLevel="0" max="13" min="13" style="1" width="9"/>
    <col collapsed="false" customWidth="true" hidden="false" outlineLevel="0" max="14" min="14" style="1" width="17.73"/>
    <col collapsed="false" customWidth="true" hidden="false" outlineLevel="0" max="15" min="15" style="1" width="11.18"/>
    <col collapsed="false" customWidth="true" hidden="false" outlineLevel="0" max="16" min="16" style="1" width="10.73"/>
    <col collapsed="false" customWidth="true" hidden="false" outlineLevel="0" max="17" min="17" style="1" width="23.45"/>
    <col collapsed="false" customWidth="true" hidden="false" outlineLevel="0" max="18" min="18" style="1" width="226.54"/>
    <col collapsed="false" customWidth="true" hidden="false" outlineLevel="0" max="19" min="19" style="1" width="9.91"/>
    <col collapsed="false" customWidth="true" hidden="false" outlineLevel="0" max="20" min="20" style="1" width="39.36"/>
    <col collapsed="false" customWidth="true" hidden="false" outlineLevel="0" max="21" min="21" style="1" width="15.09"/>
    <col collapsed="false" customWidth="true" hidden="false" outlineLevel="0" max="22" min="22" style="1" width="10.82"/>
    <col collapsed="false" customWidth="true" hidden="false" outlineLevel="0" max="23" min="23" style="1" width="16.36"/>
    <col collapsed="false" customWidth="true" hidden="false" outlineLevel="0" max="24" min="24" style="1" width="21.82"/>
    <col collapsed="false" customWidth="true" hidden="false" outlineLevel="0" max="25" min="25" style="1" width="8.63"/>
    <col collapsed="false" customWidth="true" hidden="false" outlineLevel="0" max="26" min="26" style="1" width="12.45"/>
    <col collapsed="false" customWidth="true" hidden="false" outlineLevel="0" max="27" min="27" style="1" width="21.27"/>
    <col collapsed="false" customWidth="true" hidden="false" outlineLevel="0" max="28" min="28" style="1" width="26.27"/>
    <col collapsed="false" customWidth="true" hidden="false" outlineLevel="0" max="29" min="29" style="1" width="18"/>
    <col collapsed="false" customWidth="true" hidden="false" outlineLevel="0" max="30" min="30" style="1" width="35.36"/>
    <col collapsed="false" customWidth="true" hidden="false" outlineLevel="0" max="31" min="31" style="1" width="45.91"/>
    <col collapsed="false" customWidth="true" hidden="false" outlineLevel="0" max="32" min="32" style="1" width="32.36"/>
    <col collapsed="false" customWidth="true" hidden="false" outlineLevel="0" max="33" min="33" style="1" width="44.82"/>
    <col collapsed="false" customWidth="true" hidden="false" outlineLevel="0" max="34" min="34" style="1" width="17.63"/>
    <col collapsed="false" customWidth="true" hidden="false" outlineLevel="0" max="35" min="35" style="1" width="41.36"/>
    <col collapsed="false" customWidth="true" hidden="false" outlineLevel="0" max="36" min="36" style="1" width="18.73"/>
    <col collapsed="false" customWidth="true" hidden="false" outlineLevel="0" max="37" min="37" style="1" width="17.54"/>
    <col collapsed="false" customWidth="true" hidden="false" outlineLevel="0" max="38" min="38" style="1" width="15.09"/>
    <col collapsed="false" customWidth="true" hidden="false" outlineLevel="0" max="39" min="39" style="1" width="11.27"/>
    <col collapsed="false" customWidth="true" hidden="false" outlineLevel="0" max="40" min="40" style="1" width="9.45"/>
    <col collapsed="false" customWidth="true" hidden="false" outlineLevel="0" max="41" min="41" style="1" width="10"/>
    <col collapsed="false" customWidth="true" hidden="false" outlineLevel="0" max="42" min="42" style="1" width="8.54"/>
    <col collapsed="false" customWidth="true" hidden="false" outlineLevel="0" max="45" min="43" style="1" width="11.45"/>
    <col collapsed="false" customWidth="true" hidden="false" outlineLevel="0" max="46" min="46" style="1" width="36.63"/>
    <col collapsed="false" customWidth="true" hidden="false" outlineLevel="0" max="47" min="47" style="1" width="9.39"/>
    <col collapsed="false" customWidth="true" hidden="false" outlineLevel="0" max="48" min="48" style="1" width="12.02"/>
    <col collapsed="false" customWidth="true" hidden="false" outlineLevel="0" max="49" min="49" style="1" width="13.63"/>
    <col collapsed="false" customWidth="true" hidden="false" outlineLevel="0" max="50" min="50" style="1" width="8.28"/>
    <col collapsed="false" customWidth="true" hidden="false" outlineLevel="0" max="51" min="51" style="1" width="9.73"/>
    <col collapsed="false" customWidth="true" hidden="false" outlineLevel="0" max="52" min="52" style="1" width="212.73"/>
    <col collapsed="false" customWidth="true" hidden="false" outlineLevel="0" max="53" min="53" style="1" width="12.09"/>
  </cols>
  <sheetData>
    <row r="1" customFormat="false" ht="56" hidden="false" customHeight="false" outlineLevel="0" collapsed="false">
      <c r="B1" s="19" t="s">
        <v>78</v>
      </c>
      <c r="C1" s="19" t="s">
        <v>79</v>
      </c>
      <c r="D1" s="19" t="s">
        <v>80</v>
      </c>
      <c r="E1" s="19" t="s">
        <v>9</v>
      </c>
      <c r="F1" s="19" t="s">
        <v>81</v>
      </c>
      <c r="G1" s="19" t="s">
        <v>82</v>
      </c>
      <c r="H1" s="19" t="s">
        <v>83</v>
      </c>
      <c r="I1" s="19" t="s">
        <v>84</v>
      </c>
      <c r="J1" s="19" t="s">
        <v>85</v>
      </c>
      <c r="K1" s="19" t="s">
        <v>86</v>
      </c>
      <c r="L1" s="19" t="s">
        <v>10</v>
      </c>
      <c r="M1" s="19" t="s">
        <v>1</v>
      </c>
      <c r="N1" s="19" t="s">
        <v>87</v>
      </c>
      <c r="O1" s="19" t="s">
        <v>88</v>
      </c>
      <c r="P1" s="19" t="s">
        <v>89</v>
      </c>
      <c r="Q1" s="19" t="s">
        <v>90</v>
      </c>
      <c r="R1" s="19" t="s">
        <v>91</v>
      </c>
      <c r="S1" s="19" t="s">
        <v>92</v>
      </c>
      <c r="T1" s="20" t="s">
        <v>93</v>
      </c>
      <c r="U1" s="20" t="s">
        <v>94</v>
      </c>
      <c r="V1" s="20" t="s">
        <v>95</v>
      </c>
      <c r="W1" s="20" t="s">
        <v>96</v>
      </c>
      <c r="X1" s="20" t="s">
        <v>97</v>
      </c>
      <c r="Y1" s="20" t="s">
        <v>3</v>
      </c>
      <c r="Z1" s="20" t="s">
        <v>98</v>
      </c>
      <c r="AA1" s="20" t="s">
        <v>11</v>
      </c>
      <c r="AB1" s="20" t="s">
        <v>99</v>
      </c>
      <c r="AC1" s="20" t="s">
        <v>100</v>
      </c>
      <c r="AD1" s="20" t="s">
        <v>101</v>
      </c>
      <c r="AE1" s="20" t="s">
        <v>102</v>
      </c>
      <c r="AF1" s="20" t="s">
        <v>103</v>
      </c>
      <c r="AG1" s="20" t="s">
        <v>104</v>
      </c>
      <c r="AH1" s="20" t="s">
        <v>105</v>
      </c>
      <c r="AI1" s="20" t="s">
        <v>106</v>
      </c>
      <c r="AJ1" s="20" t="s">
        <v>107</v>
      </c>
      <c r="AK1" s="20" t="s">
        <v>108</v>
      </c>
      <c r="AL1" s="20" t="s">
        <v>109</v>
      </c>
      <c r="AM1" s="20" t="s">
        <v>4</v>
      </c>
      <c r="AN1" s="20" t="s">
        <v>5</v>
      </c>
      <c r="AO1" s="20" t="s">
        <v>6</v>
      </c>
      <c r="AP1" s="20" t="s">
        <v>7</v>
      </c>
      <c r="AQ1" s="20" t="s">
        <v>110</v>
      </c>
      <c r="AR1" s="20" t="s">
        <v>111</v>
      </c>
      <c r="AS1" s="20" t="s">
        <v>112</v>
      </c>
      <c r="AT1" s="20" t="s">
        <v>13</v>
      </c>
      <c r="AU1" s="20" t="s">
        <v>113</v>
      </c>
      <c r="AV1" s="20" t="s">
        <v>114</v>
      </c>
      <c r="AW1" s="20" t="s">
        <v>115</v>
      </c>
      <c r="AX1" s="20" t="s">
        <v>116</v>
      </c>
      <c r="AY1" s="20" t="s">
        <v>117</v>
      </c>
      <c r="AZ1" s="20" t="s">
        <v>118</v>
      </c>
      <c r="BA1" s="21"/>
    </row>
    <row r="2" customFormat="false" ht="14.25" hidden="false" customHeight="false" outlineLevel="0" collapsed="false">
      <c r="B2" s="22" t="n">
        <v>1</v>
      </c>
      <c r="C2" s="22" t="s">
        <v>119</v>
      </c>
      <c r="D2" s="22" t="s">
        <v>16</v>
      </c>
      <c r="E2" s="22" t="s">
        <v>21</v>
      </c>
      <c r="F2" s="22" t="n">
        <v>50001687</v>
      </c>
      <c r="G2" s="22" t="s">
        <v>120</v>
      </c>
      <c r="H2" s="22" t="s">
        <v>121</v>
      </c>
      <c r="I2" s="22" t="s">
        <v>122</v>
      </c>
      <c r="J2" s="22" t="s">
        <v>123</v>
      </c>
      <c r="K2" s="22" t="s">
        <v>123</v>
      </c>
      <c r="L2" s="22" t="s">
        <v>53</v>
      </c>
      <c r="M2" s="22" t="s">
        <v>124</v>
      </c>
      <c r="N2" s="22" t="s">
        <v>125</v>
      </c>
      <c r="O2" s="22" t="n">
        <v>7730</v>
      </c>
      <c r="P2" s="22" t="s">
        <v>126</v>
      </c>
      <c r="Q2" s="22" t="s">
        <v>127</v>
      </c>
      <c r="R2" s="22" t="s">
        <v>128</v>
      </c>
      <c r="S2" s="22" t="n">
        <v>825320</v>
      </c>
      <c r="T2" s="22" t="n">
        <v>24.17911</v>
      </c>
      <c r="U2" s="22" t="n">
        <v>85.890303</v>
      </c>
      <c r="V2" s="22" t="s">
        <v>129</v>
      </c>
      <c r="W2" s="22" t="n">
        <v>2019</v>
      </c>
      <c r="X2" s="22" t="n">
        <v>43814</v>
      </c>
      <c r="Y2" s="22" t="n">
        <v>1700</v>
      </c>
      <c r="Z2" s="22" t="n">
        <v>1700</v>
      </c>
      <c r="AA2" s="22" t="s">
        <v>23</v>
      </c>
      <c r="AB2" s="22" t="s">
        <v>130</v>
      </c>
      <c r="AC2" s="22" t="s">
        <v>131</v>
      </c>
      <c r="AD2" s="22" t="s">
        <v>132</v>
      </c>
      <c r="AE2" s="22" t="s">
        <v>133</v>
      </c>
      <c r="AF2" s="22" t="s">
        <v>134</v>
      </c>
      <c r="AG2" s="22" t="s">
        <v>135</v>
      </c>
      <c r="AH2" s="22" t="s">
        <v>136</v>
      </c>
      <c r="AI2" s="22" t="s">
        <v>137</v>
      </c>
      <c r="AJ2" s="22" t="n">
        <v>12</v>
      </c>
      <c r="AK2" s="22" t="n">
        <v>2</v>
      </c>
      <c r="AL2" s="22" t="n">
        <v>2</v>
      </c>
      <c r="AM2" s="22" t="n">
        <f aca="false">AL2+AK2+AJ2</f>
        <v>16</v>
      </c>
      <c r="AN2" s="22" t="n">
        <v>12</v>
      </c>
      <c r="AO2" s="22" t="n">
        <v>6</v>
      </c>
      <c r="AP2" s="22" t="n">
        <f aca="false">AN2+AO2</f>
        <v>18</v>
      </c>
      <c r="AQ2" s="22" t="n">
        <v>1</v>
      </c>
      <c r="AR2" s="22" t="n">
        <v>1</v>
      </c>
      <c r="AS2" s="22" t="n">
        <v>0</v>
      </c>
      <c r="AT2" s="22" t="n">
        <v>0</v>
      </c>
      <c r="AU2" s="22" t="n">
        <v>1</v>
      </c>
      <c r="AV2" s="22" t="n">
        <v>0</v>
      </c>
      <c r="AW2" s="22" t="n">
        <v>0</v>
      </c>
      <c r="AX2" s="22" t="n">
        <v>0</v>
      </c>
      <c r="AY2" s="22" t="s">
        <v>138</v>
      </c>
      <c r="AZ2" s="22" t="s">
        <v>139</v>
      </c>
      <c r="BA2" s="21"/>
    </row>
    <row r="3" customFormat="false" ht="14.25" hidden="false" customHeight="false" outlineLevel="0" collapsed="false">
      <c r="B3" s="22" t="n">
        <v>2</v>
      </c>
      <c r="C3" s="22" t="s">
        <v>140</v>
      </c>
      <c r="D3" s="22" t="s">
        <v>16</v>
      </c>
      <c r="E3" s="22" t="s">
        <v>21</v>
      </c>
      <c r="F3" s="22" t="n">
        <v>50005303</v>
      </c>
      <c r="G3" s="22" t="s">
        <v>120</v>
      </c>
      <c r="H3" s="22" t="s">
        <v>141</v>
      </c>
      <c r="I3" s="22" t="s">
        <v>122</v>
      </c>
      <c r="J3" s="22" t="s">
        <v>142</v>
      </c>
      <c r="K3" s="22" t="s">
        <v>143</v>
      </c>
      <c r="L3" s="22" t="s">
        <v>53</v>
      </c>
      <c r="M3" s="22" t="s">
        <v>124</v>
      </c>
      <c r="N3" s="22" t="s">
        <v>144</v>
      </c>
      <c r="O3" s="22" t="n">
        <v>12312</v>
      </c>
      <c r="P3" s="22" t="s">
        <v>145</v>
      </c>
      <c r="Q3" s="22" t="s">
        <v>146</v>
      </c>
      <c r="R3" s="22" t="s">
        <v>147</v>
      </c>
      <c r="S3" s="22" t="n">
        <v>822132</v>
      </c>
      <c r="T3" s="22" t="n">
        <v>24.246215</v>
      </c>
      <c r="U3" s="22" t="n">
        <v>83.924815</v>
      </c>
      <c r="V3" s="22" t="s">
        <v>129</v>
      </c>
      <c r="W3" s="22" t="n">
        <v>2023</v>
      </c>
      <c r="X3" s="22" t="n">
        <v>45230</v>
      </c>
      <c r="Y3" s="22" t="n">
        <v>560</v>
      </c>
      <c r="Z3" s="22" t="n">
        <v>560</v>
      </c>
      <c r="AA3" s="22" t="s">
        <v>23</v>
      </c>
      <c r="AB3" s="22" t="s">
        <v>130</v>
      </c>
      <c r="AC3" s="22" t="s">
        <v>131</v>
      </c>
      <c r="AD3" s="22" t="s">
        <v>132</v>
      </c>
      <c r="AE3" s="22" t="s">
        <v>148</v>
      </c>
      <c r="AF3" s="22" t="s">
        <v>149</v>
      </c>
      <c r="AG3" s="22" t="s">
        <v>150</v>
      </c>
      <c r="AH3" s="22" t="s">
        <v>136</v>
      </c>
      <c r="AI3" s="22" t="s">
        <v>137</v>
      </c>
      <c r="AJ3" s="22" t="n">
        <v>6</v>
      </c>
      <c r="AK3" s="22" t="n">
        <v>1</v>
      </c>
      <c r="AL3" s="22" t="n">
        <v>0</v>
      </c>
      <c r="AM3" s="22" t="n">
        <f aca="false">AL3+AK3+AJ3</f>
        <v>7</v>
      </c>
      <c r="AN3" s="22" t="n">
        <v>2</v>
      </c>
      <c r="AO3" s="22" t="n">
        <v>3</v>
      </c>
      <c r="AP3" s="22" t="n">
        <f aca="false">AN3+AO3</f>
        <v>5</v>
      </c>
      <c r="AQ3" s="22" t="n">
        <v>1</v>
      </c>
      <c r="AR3" s="22" t="n">
        <v>1</v>
      </c>
      <c r="AS3" s="22" t="n">
        <v>0</v>
      </c>
      <c r="AT3" s="22" t="n">
        <v>0</v>
      </c>
      <c r="AU3" s="22" t="n">
        <v>1</v>
      </c>
      <c r="AV3" s="22" t="n">
        <v>0</v>
      </c>
      <c r="AW3" s="22" t="n">
        <v>0</v>
      </c>
      <c r="AX3" s="22" t="n">
        <v>0</v>
      </c>
      <c r="AY3" s="22" t="s">
        <v>138</v>
      </c>
      <c r="AZ3" s="22" t="s">
        <v>139</v>
      </c>
      <c r="BA3" s="21"/>
    </row>
    <row r="4" customFormat="false" ht="14.25" hidden="false" customHeight="false" outlineLevel="0" collapsed="false">
      <c r="B4" s="22" t="n">
        <v>3</v>
      </c>
      <c r="C4" s="22" t="s">
        <v>151</v>
      </c>
      <c r="D4" s="22" t="s">
        <v>16</v>
      </c>
      <c r="E4" s="22" t="s">
        <v>21</v>
      </c>
      <c r="F4" s="22" t="n">
        <v>50000114</v>
      </c>
      <c r="G4" s="22" t="s">
        <v>120</v>
      </c>
      <c r="H4" s="22" t="s">
        <v>152</v>
      </c>
      <c r="I4" s="22" t="s">
        <v>122</v>
      </c>
      <c r="J4" s="22" t="s">
        <v>151</v>
      </c>
      <c r="K4" s="22" t="s">
        <v>151</v>
      </c>
      <c r="L4" s="22" t="s">
        <v>53</v>
      </c>
      <c r="M4" s="22" t="s">
        <v>153</v>
      </c>
      <c r="N4" s="22" t="s">
        <v>154</v>
      </c>
      <c r="O4" s="22" t="n">
        <v>265</v>
      </c>
      <c r="P4" s="22" t="s">
        <v>155</v>
      </c>
      <c r="Q4" s="22" t="s">
        <v>127</v>
      </c>
      <c r="R4" s="22" t="s">
        <v>156</v>
      </c>
      <c r="S4" s="22" t="n">
        <v>827004</v>
      </c>
      <c r="T4" s="22" t="n">
        <v>23.665763</v>
      </c>
      <c r="U4" s="22" t="n">
        <v>86.151559</v>
      </c>
      <c r="V4" s="22" t="s">
        <v>129</v>
      </c>
      <c r="W4" s="22" t="n">
        <v>2014</v>
      </c>
      <c r="X4" s="22" t="n">
        <v>41705</v>
      </c>
      <c r="Y4" s="22" t="n">
        <v>1600</v>
      </c>
      <c r="Z4" s="22" t="n">
        <v>1600</v>
      </c>
      <c r="AA4" s="22" t="s">
        <v>23</v>
      </c>
      <c r="AB4" s="22" t="s">
        <v>130</v>
      </c>
      <c r="AC4" s="22" t="s">
        <v>131</v>
      </c>
      <c r="AD4" s="22" t="s">
        <v>132</v>
      </c>
      <c r="AE4" s="22" t="s">
        <v>157</v>
      </c>
      <c r="AF4" s="22" t="s">
        <v>158</v>
      </c>
      <c r="AG4" s="22" t="s">
        <v>159</v>
      </c>
      <c r="AH4" s="22" t="s">
        <v>136</v>
      </c>
      <c r="AI4" s="22" t="s">
        <v>137</v>
      </c>
      <c r="AJ4" s="22" t="n">
        <v>24</v>
      </c>
      <c r="AK4" s="22" t="n">
        <v>2</v>
      </c>
      <c r="AL4" s="22" t="n">
        <v>0</v>
      </c>
      <c r="AM4" s="22" t="n">
        <f aca="false">AL4+AK4+AJ4</f>
        <v>26</v>
      </c>
      <c r="AN4" s="22" t="n">
        <v>26</v>
      </c>
      <c r="AO4" s="22" t="n">
        <v>18</v>
      </c>
      <c r="AP4" s="22" t="n">
        <f aca="false">AN4+AO4</f>
        <v>44</v>
      </c>
      <c r="AQ4" s="22" t="n">
        <v>0</v>
      </c>
      <c r="AR4" s="22" t="n">
        <v>0</v>
      </c>
      <c r="AS4" s="22" t="n">
        <v>1</v>
      </c>
      <c r="AT4" s="22" t="n">
        <v>0</v>
      </c>
      <c r="AU4" s="22" t="n">
        <v>1</v>
      </c>
      <c r="AV4" s="22" t="n">
        <v>0</v>
      </c>
      <c r="AW4" s="22" t="n">
        <v>0</v>
      </c>
      <c r="AX4" s="22" t="n">
        <v>0</v>
      </c>
      <c r="AY4" s="22" t="s">
        <v>160</v>
      </c>
      <c r="AZ4" s="22" t="s">
        <v>139</v>
      </c>
      <c r="BA4" s="21"/>
    </row>
    <row r="5" customFormat="false" ht="14.25" hidden="false" customHeight="false" outlineLevel="0" collapsed="false">
      <c r="B5" s="22" t="n">
        <v>4</v>
      </c>
      <c r="C5" s="22" t="s">
        <v>161</v>
      </c>
      <c r="D5" s="22" t="s">
        <v>16</v>
      </c>
      <c r="E5" s="22" t="s">
        <v>21</v>
      </c>
      <c r="F5" s="22" t="n">
        <v>50000114</v>
      </c>
      <c r="G5" s="22" t="s">
        <v>162</v>
      </c>
      <c r="H5" s="22" t="s">
        <v>163</v>
      </c>
      <c r="I5" s="22" t="s">
        <v>122</v>
      </c>
      <c r="J5" s="22" t="s">
        <v>151</v>
      </c>
      <c r="K5" s="22" t="s">
        <v>151</v>
      </c>
      <c r="L5" s="22" t="s">
        <v>53</v>
      </c>
      <c r="M5" s="22" t="s">
        <v>153</v>
      </c>
      <c r="N5" s="22" t="s">
        <v>154</v>
      </c>
      <c r="O5" s="22" t="n">
        <v>265</v>
      </c>
      <c r="P5" s="22" t="s">
        <v>164</v>
      </c>
      <c r="Q5" s="22" t="s">
        <v>165</v>
      </c>
      <c r="R5" s="22" t="s">
        <v>166</v>
      </c>
      <c r="S5" s="22" t="n">
        <v>827004</v>
      </c>
      <c r="T5" s="22" t="n">
        <v>23.665763</v>
      </c>
      <c r="U5" s="22" t="n">
        <v>86.151559</v>
      </c>
      <c r="V5" s="22" t="s">
        <v>129</v>
      </c>
      <c r="W5" s="22" t="n">
        <v>2023</v>
      </c>
      <c r="X5" s="22" t="n">
        <v>45241</v>
      </c>
      <c r="Y5" s="22" t="n">
        <v>1152</v>
      </c>
      <c r="Z5" s="22" t="n">
        <v>1152</v>
      </c>
      <c r="AA5" s="22" t="s">
        <v>23</v>
      </c>
      <c r="AB5" s="22" t="s">
        <v>130</v>
      </c>
      <c r="AC5" s="22" t="s">
        <v>131</v>
      </c>
      <c r="AD5" s="22" t="s">
        <v>132</v>
      </c>
      <c r="AE5" s="22" t="s">
        <v>157</v>
      </c>
      <c r="AF5" s="22" t="s">
        <v>158</v>
      </c>
      <c r="AG5" s="22" t="s">
        <v>159</v>
      </c>
      <c r="AH5" s="22" t="s">
        <v>136</v>
      </c>
      <c r="AI5" s="22" t="s">
        <v>137</v>
      </c>
      <c r="AJ5" s="22" t="n">
        <v>6</v>
      </c>
      <c r="AK5" s="22" t="n">
        <v>0</v>
      </c>
      <c r="AL5" s="22" t="n">
        <v>0</v>
      </c>
      <c r="AM5" s="22" t="n">
        <f aca="false">AL5+AK5+AJ5</f>
        <v>6</v>
      </c>
      <c r="AN5" s="22" t="n">
        <v>8</v>
      </c>
      <c r="AO5" s="22" t="n">
        <v>0</v>
      </c>
      <c r="AP5" s="22" t="n">
        <f aca="false">AN5+AO5</f>
        <v>8</v>
      </c>
      <c r="AQ5" s="22" t="n">
        <v>1</v>
      </c>
      <c r="AR5" s="22" t="n">
        <v>1</v>
      </c>
      <c r="AS5" s="22" t="n">
        <v>0</v>
      </c>
      <c r="AT5" s="22" t="n">
        <v>0</v>
      </c>
      <c r="AU5" s="22" t="n">
        <v>0</v>
      </c>
      <c r="AV5" s="22" t="n">
        <v>0</v>
      </c>
      <c r="AW5" s="22" t="n">
        <v>0</v>
      </c>
      <c r="AX5" s="22" t="n">
        <v>0</v>
      </c>
      <c r="AY5" s="22" t="s">
        <v>160</v>
      </c>
      <c r="AZ5" s="22" t="s">
        <v>139</v>
      </c>
      <c r="BA5" s="21"/>
    </row>
    <row r="6" customFormat="false" ht="14.25" hidden="false" customHeight="false" outlineLevel="0" collapsed="false">
      <c r="B6" s="22" t="n">
        <v>5</v>
      </c>
      <c r="C6" s="22" t="s">
        <v>167</v>
      </c>
      <c r="D6" s="22" t="s">
        <v>16</v>
      </c>
      <c r="E6" s="22" t="s">
        <v>21</v>
      </c>
      <c r="F6" s="22" t="n">
        <v>50001854</v>
      </c>
      <c r="G6" s="22" t="s">
        <v>120</v>
      </c>
      <c r="H6" s="22" t="s">
        <v>141</v>
      </c>
      <c r="I6" s="22" t="s">
        <v>122</v>
      </c>
      <c r="J6" s="22" t="s">
        <v>168</v>
      </c>
      <c r="K6" s="22" t="s">
        <v>168</v>
      </c>
      <c r="L6" s="22" t="s">
        <v>53</v>
      </c>
      <c r="M6" s="22" t="s">
        <v>124</v>
      </c>
      <c r="N6" s="22" t="s">
        <v>169</v>
      </c>
      <c r="O6" s="22" t="n">
        <v>8252</v>
      </c>
      <c r="P6" s="22" t="s">
        <v>170</v>
      </c>
      <c r="Q6" s="22" t="s">
        <v>127</v>
      </c>
      <c r="R6" s="22" t="s">
        <v>171</v>
      </c>
      <c r="S6" s="22" t="n">
        <v>835204</v>
      </c>
      <c r="T6" s="22" t="n">
        <v>23.172783</v>
      </c>
      <c r="U6" s="22" t="n">
        <v>85.590307</v>
      </c>
      <c r="V6" s="22" t="s">
        <v>129</v>
      </c>
      <c r="W6" s="22" t="n">
        <v>2021</v>
      </c>
      <c r="X6" s="22" t="n">
        <v>44204</v>
      </c>
      <c r="Y6" s="22" t="n">
        <v>900</v>
      </c>
      <c r="Z6" s="22" t="n">
        <v>900</v>
      </c>
      <c r="AA6" s="22" t="s">
        <v>23</v>
      </c>
      <c r="AB6" s="22" t="s">
        <v>130</v>
      </c>
      <c r="AC6" s="22" t="s">
        <v>131</v>
      </c>
      <c r="AD6" s="22" t="s">
        <v>132</v>
      </c>
      <c r="AE6" s="22" t="s">
        <v>172</v>
      </c>
      <c r="AF6" s="22" t="s">
        <v>173</v>
      </c>
      <c r="AG6" s="22" t="s">
        <v>174</v>
      </c>
      <c r="AH6" s="22" t="s">
        <v>136</v>
      </c>
      <c r="AI6" s="22" t="s">
        <v>137</v>
      </c>
      <c r="AJ6" s="22" t="n">
        <v>11</v>
      </c>
      <c r="AK6" s="22" t="n">
        <v>1</v>
      </c>
      <c r="AL6" s="22" t="n">
        <v>0</v>
      </c>
      <c r="AM6" s="22" t="n">
        <f aca="false">AL6+AK6+AJ6</f>
        <v>12</v>
      </c>
      <c r="AN6" s="22" t="n">
        <v>7</v>
      </c>
      <c r="AO6" s="22" t="n">
        <v>6</v>
      </c>
      <c r="AP6" s="22" t="n">
        <f aca="false">AN6+AO6</f>
        <v>13</v>
      </c>
      <c r="AQ6" s="22" t="n">
        <v>1</v>
      </c>
      <c r="AR6" s="22" t="n">
        <v>1</v>
      </c>
      <c r="AS6" s="22" t="n">
        <v>0</v>
      </c>
      <c r="AT6" s="22" t="n">
        <v>0</v>
      </c>
      <c r="AU6" s="22" t="n">
        <v>1</v>
      </c>
      <c r="AV6" s="22" t="n">
        <v>0</v>
      </c>
      <c r="AW6" s="22" t="n">
        <v>0</v>
      </c>
      <c r="AX6" s="22" t="n">
        <v>0</v>
      </c>
      <c r="AY6" s="22" t="s">
        <v>138</v>
      </c>
      <c r="AZ6" s="22" t="s">
        <v>139</v>
      </c>
      <c r="BA6" s="21"/>
    </row>
    <row r="7" customFormat="false" ht="14.25" hidden="false" customHeight="false" outlineLevel="0" collapsed="false">
      <c r="B7" s="22" t="n">
        <v>6</v>
      </c>
      <c r="C7" s="22" t="s">
        <v>175</v>
      </c>
      <c r="D7" s="22" t="s">
        <v>16</v>
      </c>
      <c r="E7" s="22" t="s">
        <v>21</v>
      </c>
      <c r="F7" s="22" t="n">
        <v>50000126</v>
      </c>
      <c r="G7" s="22" t="s">
        <v>120</v>
      </c>
      <c r="H7" s="22" t="s">
        <v>152</v>
      </c>
      <c r="I7" s="22" t="s">
        <v>122</v>
      </c>
      <c r="J7" s="22" t="s">
        <v>176</v>
      </c>
      <c r="K7" s="22" t="s">
        <v>177</v>
      </c>
      <c r="L7" s="22" t="s">
        <v>53</v>
      </c>
      <c r="M7" s="22" t="s">
        <v>153</v>
      </c>
      <c r="N7" s="22" t="s">
        <v>178</v>
      </c>
      <c r="O7" s="22" t="n">
        <v>1255</v>
      </c>
      <c r="P7" s="22" t="s">
        <v>179</v>
      </c>
      <c r="Q7" s="22" t="s">
        <v>127</v>
      </c>
      <c r="R7" s="22" t="s">
        <v>180</v>
      </c>
      <c r="S7" s="22" t="n">
        <v>833201</v>
      </c>
      <c r="T7" s="22" t="n">
        <v>22.550162</v>
      </c>
      <c r="U7" s="22" t="n">
        <v>85.808671</v>
      </c>
      <c r="V7" s="22" t="s">
        <v>129</v>
      </c>
      <c r="W7" s="22" t="n">
        <v>2016</v>
      </c>
      <c r="X7" s="22" t="n">
        <v>42569</v>
      </c>
      <c r="Y7" s="22" t="n">
        <v>1000</v>
      </c>
      <c r="Z7" s="22" t="n">
        <v>1000</v>
      </c>
      <c r="AA7" s="22" t="s">
        <v>23</v>
      </c>
      <c r="AB7" s="22" t="s">
        <v>130</v>
      </c>
      <c r="AC7" s="22" t="s">
        <v>131</v>
      </c>
      <c r="AD7" s="22" t="s">
        <v>132</v>
      </c>
      <c r="AE7" s="22" t="s">
        <v>181</v>
      </c>
      <c r="AF7" s="22" t="s">
        <v>182</v>
      </c>
      <c r="AG7" s="22" t="s">
        <v>183</v>
      </c>
      <c r="AH7" s="22" t="s">
        <v>136</v>
      </c>
      <c r="AI7" s="22" t="s">
        <v>137</v>
      </c>
      <c r="AJ7" s="22" t="n">
        <v>10</v>
      </c>
      <c r="AK7" s="22" t="n">
        <v>2</v>
      </c>
      <c r="AL7" s="22" t="n">
        <v>0</v>
      </c>
      <c r="AM7" s="22" t="n">
        <f aca="false">AL7+AK7+AJ7</f>
        <v>12</v>
      </c>
      <c r="AN7" s="22" t="n">
        <v>17</v>
      </c>
      <c r="AO7" s="22" t="n">
        <v>3</v>
      </c>
      <c r="AP7" s="22" t="n">
        <f aca="false">AN7+AO7</f>
        <v>20</v>
      </c>
      <c r="AQ7" s="22" t="n">
        <v>0</v>
      </c>
      <c r="AR7" s="22" t="n">
        <v>0</v>
      </c>
      <c r="AS7" s="22" t="n">
        <v>1</v>
      </c>
      <c r="AT7" s="22" t="n">
        <v>0</v>
      </c>
      <c r="AU7" s="22" t="n">
        <v>1</v>
      </c>
      <c r="AV7" s="22" t="n">
        <v>0</v>
      </c>
      <c r="AW7" s="22" t="n">
        <v>0</v>
      </c>
      <c r="AX7" s="22" t="n">
        <v>0</v>
      </c>
      <c r="AY7" s="22" t="s">
        <v>138</v>
      </c>
      <c r="AZ7" s="22" t="s">
        <v>139</v>
      </c>
      <c r="BA7" s="21"/>
    </row>
    <row r="8" customFormat="false" ht="14.25" hidden="false" customHeight="false" outlineLevel="0" collapsed="false">
      <c r="B8" s="22" t="n">
        <v>7</v>
      </c>
      <c r="C8" s="22" t="s">
        <v>184</v>
      </c>
      <c r="D8" s="22" t="s">
        <v>16</v>
      </c>
      <c r="E8" s="22" t="s">
        <v>21</v>
      </c>
      <c r="F8" s="22" t="n">
        <v>50000855</v>
      </c>
      <c r="G8" s="22" t="s">
        <v>120</v>
      </c>
      <c r="H8" s="22" t="s">
        <v>152</v>
      </c>
      <c r="I8" s="22" t="s">
        <v>122</v>
      </c>
      <c r="J8" s="22" t="s">
        <v>176</v>
      </c>
      <c r="K8" s="22" t="s">
        <v>177</v>
      </c>
      <c r="L8" s="22" t="s">
        <v>53</v>
      </c>
      <c r="M8" s="22" t="s">
        <v>153</v>
      </c>
      <c r="N8" s="22" t="s">
        <v>185</v>
      </c>
      <c r="O8" s="22" t="n">
        <v>27923</v>
      </c>
      <c r="P8" s="22" t="s">
        <v>186</v>
      </c>
      <c r="Q8" s="22" t="s">
        <v>127</v>
      </c>
      <c r="R8" s="22" t="s">
        <v>187</v>
      </c>
      <c r="S8" s="22" t="n">
        <v>833102</v>
      </c>
      <c r="T8" s="22" t="n">
        <v>22.676475</v>
      </c>
      <c r="U8" s="22" t="n">
        <v>85.617728</v>
      </c>
      <c r="V8" s="22" t="s">
        <v>129</v>
      </c>
      <c r="W8" s="22" t="n">
        <v>2017</v>
      </c>
      <c r="X8" s="22" t="n">
        <v>42795</v>
      </c>
      <c r="Y8" s="22" t="n">
        <v>1050</v>
      </c>
      <c r="Z8" s="22" t="n">
        <v>1050</v>
      </c>
      <c r="AA8" s="22" t="s">
        <v>23</v>
      </c>
      <c r="AB8" s="22" t="s">
        <v>130</v>
      </c>
      <c r="AC8" s="22" t="s">
        <v>131</v>
      </c>
      <c r="AD8" s="22" t="s">
        <v>132</v>
      </c>
      <c r="AE8" s="22" t="s">
        <v>188</v>
      </c>
      <c r="AF8" s="22" t="s">
        <v>189</v>
      </c>
      <c r="AG8" s="22" t="s">
        <v>190</v>
      </c>
      <c r="AH8" s="22" t="s">
        <v>136</v>
      </c>
      <c r="AI8" s="22" t="s">
        <v>137</v>
      </c>
      <c r="AJ8" s="22" t="n">
        <v>8</v>
      </c>
      <c r="AK8" s="22" t="n">
        <v>2</v>
      </c>
      <c r="AL8" s="22" t="n">
        <v>0</v>
      </c>
      <c r="AM8" s="22" t="n">
        <f aca="false">AL8+AK8+AJ8</f>
        <v>10</v>
      </c>
      <c r="AN8" s="22" t="n">
        <v>6</v>
      </c>
      <c r="AO8" s="22" t="n">
        <v>6</v>
      </c>
      <c r="AP8" s="22" t="n">
        <f aca="false">AN8+AO8</f>
        <v>12</v>
      </c>
      <c r="AQ8" s="22" t="n">
        <v>0</v>
      </c>
      <c r="AR8" s="22" t="n">
        <v>0</v>
      </c>
      <c r="AS8" s="22" t="n">
        <v>1</v>
      </c>
      <c r="AT8" s="22" t="n">
        <v>0</v>
      </c>
      <c r="AU8" s="22" t="n">
        <v>1</v>
      </c>
      <c r="AV8" s="22" t="n">
        <v>0</v>
      </c>
      <c r="AW8" s="22" t="n">
        <v>0</v>
      </c>
      <c r="AX8" s="22" t="n">
        <v>0</v>
      </c>
      <c r="AY8" s="22" t="s">
        <v>138</v>
      </c>
      <c r="AZ8" s="22" t="s">
        <v>139</v>
      </c>
      <c r="BA8" s="21"/>
    </row>
    <row r="9" customFormat="false" ht="14.25" hidden="false" customHeight="false" outlineLevel="0" collapsed="false">
      <c r="B9" s="22" t="n">
        <v>8</v>
      </c>
      <c r="C9" s="22" t="s">
        <v>191</v>
      </c>
      <c r="D9" s="22" t="s">
        <v>16</v>
      </c>
      <c r="E9" s="22" t="s">
        <v>21</v>
      </c>
      <c r="F9" s="22" t="n">
        <v>50002636</v>
      </c>
      <c r="G9" s="22" t="s">
        <v>120</v>
      </c>
      <c r="H9" s="22" t="s">
        <v>141</v>
      </c>
      <c r="I9" s="22" t="s">
        <v>122</v>
      </c>
      <c r="J9" s="22" t="s">
        <v>192</v>
      </c>
      <c r="K9" s="22" t="s">
        <v>192</v>
      </c>
      <c r="L9" s="22" t="s">
        <v>53</v>
      </c>
      <c r="M9" s="22" t="s">
        <v>153</v>
      </c>
      <c r="N9" s="22" t="s">
        <v>193</v>
      </c>
      <c r="O9" s="22" t="n">
        <v>8855</v>
      </c>
      <c r="P9" s="22" t="s">
        <v>194</v>
      </c>
      <c r="Q9" s="22" t="s">
        <v>146</v>
      </c>
      <c r="R9" s="22" t="s">
        <v>195</v>
      </c>
      <c r="S9" s="22" t="n">
        <v>832401</v>
      </c>
      <c r="T9" s="22" t="n">
        <v>22.957919</v>
      </c>
      <c r="U9" s="22" t="n">
        <v>86.069795</v>
      </c>
      <c r="V9" s="22" t="s">
        <v>129</v>
      </c>
      <c r="W9" s="22" t="n">
        <v>2023</v>
      </c>
      <c r="X9" s="22" t="n">
        <v>45286</v>
      </c>
      <c r="Y9" s="22" t="n">
        <v>540</v>
      </c>
      <c r="Z9" s="22" t="n">
        <v>540</v>
      </c>
      <c r="AA9" s="22" t="s">
        <v>23</v>
      </c>
      <c r="AB9" s="22" t="s">
        <v>130</v>
      </c>
      <c r="AC9" s="22" t="s">
        <v>131</v>
      </c>
      <c r="AD9" s="22" t="s">
        <v>132</v>
      </c>
      <c r="AE9" s="22" t="s">
        <v>196</v>
      </c>
      <c r="AF9" s="22" t="s">
        <v>197</v>
      </c>
      <c r="AG9" s="22" t="s">
        <v>198</v>
      </c>
      <c r="AH9" s="22" t="s">
        <v>136</v>
      </c>
      <c r="AI9" s="22" t="s">
        <v>137</v>
      </c>
      <c r="AJ9" s="22" t="n">
        <v>4</v>
      </c>
      <c r="AK9" s="22" t="n">
        <v>1</v>
      </c>
      <c r="AL9" s="22" t="n">
        <v>0</v>
      </c>
      <c r="AM9" s="22" t="n">
        <f aca="false">AL9+AK9+AJ9</f>
        <v>5</v>
      </c>
      <c r="AN9" s="22" t="n">
        <v>4</v>
      </c>
      <c r="AO9" s="22" t="n">
        <v>3</v>
      </c>
      <c r="AP9" s="22" t="n">
        <f aca="false">AN9+AO9</f>
        <v>7</v>
      </c>
      <c r="AQ9" s="22" t="n">
        <v>0</v>
      </c>
      <c r="AR9" s="22" t="n">
        <v>0</v>
      </c>
      <c r="AS9" s="22" t="n">
        <v>1</v>
      </c>
      <c r="AT9" s="22" t="n">
        <v>0</v>
      </c>
      <c r="AU9" s="22" t="n">
        <v>1</v>
      </c>
      <c r="AV9" s="22" t="n">
        <v>0</v>
      </c>
      <c r="AW9" s="22" t="n">
        <v>0</v>
      </c>
      <c r="AX9" s="22" t="n">
        <v>0</v>
      </c>
      <c r="AY9" s="22" t="s">
        <v>138</v>
      </c>
      <c r="AZ9" s="22" t="s">
        <v>139</v>
      </c>
      <c r="BA9" s="21"/>
    </row>
    <row r="10" customFormat="false" ht="14.25" hidden="false" customHeight="false" outlineLevel="0" collapsed="false">
      <c r="B10" s="22" t="n">
        <v>9</v>
      </c>
      <c r="C10" s="22" t="s">
        <v>199</v>
      </c>
      <c r="D10" s="22" t="s">
        <v>16</v>
      </c>
      <c r="E10" s="22" t="s">
        <v>21</v>
      </c>
      <c r="F10" s="22" t="n">
        <v>50001601</v>
      </c>
      <c r="G10" s="22" t="s">
        <v>120</v>
      </c>
      <c r="H10" s="22" t="s">
        <v>121</v>
      </c>
      <c r="I10" s="22" t="s">
        <v>122</v>
      </c>
      <c r="J10" s="22" t="s">
        <v>142</v>
      </c>
      <c r="K10" s="22" t="s">
        <v>142</v>
      </c>
      <c r="L10" s="22" t="s">
        <v>53</v>
      </c>
      <c r="M10" s="22" t="s">
        <v>124</v>
      </c>
      <c r="N10" s="22" t="s">
        <v>200</v>
      </c>
      <c r="O10" s="22" t="n">
        <v>7584</v>
      </c>
      <c r="P10" s="22" t="s">
        <v>201</v>
      </c>
      <c r="Q10" s="22" t="s">
        <v>127</v>
      </c>
      <c r="R10" s="22" t="s">
        <v>202</v>
      </c>
      <c r="S10" s="22" t="n">
        <v>822101</v>
      </c>
      <c r="T10" s="22" t="n">
        <v>24.03256</v>
      </c>
      <c r="U10" s="22" t="n">
        <v>84.083851</v>
      </c>
      <c r="V10" s="22" t="s">
        <v>129</v>
      </c>
      <c r="W10" s="22" t="n">
        <v>2020</v>
      </c>
      <c r="X10" s="22" t="n">
        <v>44058</v>
      </c>
      <c r="Y10" s="22" t="n">
        <v>1100</v>
      </c>
      <c r="Z10" s="22" t="n">
        <v>1100</v>
      </c>
      <c r="AA10" s="22" t="s">
        <v>23</v>
      </c>
      <c r="AB10" s="22" t="s">
        <v>130</v>
      </c>
      <c r="AC10" s="22" t="s">
        <v>131</v>
      </c>
      <c r="AD10" s="22" t="s">
        <v>132</v>
      </c>
      <c r="AE10" s="22" t="s">
        <v>203</v>
      </c>
      <c r="AF10" s="22" t="s">
        <v>204</v>
      </c>
      <c r="AG10" s="22" t="s">
        <v>205</v>
      </c>
      <c r="AH10" s="22" t="s">
        <v>136</v>
      </c>
      <c r="AI10" s="22" t="s">
        <v>137</v>
      </c>
      <c r="AJ10" s="22" t="n">
        <v>23</v>
      </c>
      <c r="AK10" s="22" t="n">
        <v>1</v>
      </c>
      <c r="AL10" s="22" t="n">
        <v>0</v>
      </c>
      <c r="AM10" s="22" t="n">
        <f aca="false">AL10+AK10+AJ10</f>
        <v>24</v>
      </c>
      <c r="AN10" s="22" t="n">
        <v>27</v>
      </c>
      <c r="AO10" s="22" t="n">
        <v>12</v>
      </c>
      <c r="AP10" s="22" t="n">
        <f aca="false">AN10+AO10</f>
        <v>39</v>
      </c>
      <c r="AQ10" s="22" t="n">
        <v>0</v>
      </c>
      <c r="AR10" s="22" t="n">
        <v>0</v>
      </c>
      <c r="AS10" s="22" t="n">
        <v>1</v>
      </c>
      <c r="AT10" s="22" t="n">
        <v>0</v>
      </c>
      <c r="AU10" s="22" t="n">
        <v>1</v>
      </c>
      <c r="AV10" s="22" t="n">
        <v>0</v>
      </c>
      <c r="AW10" s="22" t="n">
        <v>0</v>
      </c>
      <c r="AX10" s="22" t="n">
        <v>0</v>
      </c>
      <c r="AY10" s="22" t="s">
        <v>138</v>
      </c>
      <c r="AZ10" s="22" t="s">
        <v>139</v>
      </c>
      <c r="BA10" s="21"/>
    </row>
    <row r="11" customFormat="false" ht="14.25" hidden="false" customHeight="false" outlineLevel="0" collapsed="false">
      <c r="B11" s="22" t="n">
        <v>10</v>
      </c>
      <c r="C11" s="22" t="s">
        <v>206</v>
      </c>
      <c r="D11" s="22" t="s">
        <v>16</v>
      </c>
      <c r="E11" s="22" t="s">
        <v>21</v>
      </c>
      <c r="F11" s="22" t="n">
        <v>50000188</v>
      </c>
      <c r="G11" s="22" t="s">
        <v>120</v>
      </c>
      <c r="H11" s="22" t="s">
        <v>207</v>
      </c>
      <c r="I11" s="22" t="s">
        <v>122</v>
      </c>
      <c r="J11" s="22" t="s">
        <v>206</v>
      </c>
      <c r="K11" s="22" t="s">
        <v>206</v>
      </c>
      <c r="L11" s="22" t="s">
        <v>53</v>
      </c>
      <c r="M11" s="22" t="s">
        <v>153</v>
      </c>
      <c r="N11" s="22" t="s">
        <v>208</v>
      </c>
      <c r="O11" s="22" t="n">
        <v>766</v>
      </c>
      <c r="P11" s="22" t="s">
        <v>209</v>
      </c>
      <c r="Q11" s="22" t="s">
        <v>127</v>
      </c>
      <c r="R11" s="22" t="s">
        <v>210</v>
      </c>
      <c r="S11" s="22" t="n">
        <v>814112</v>
      </c>
      <c r="T11" s="22" t="n">
        <v>24.492515</v>
      </c>
      <c r="U11" s="22" t="n">
        <v>86.685858</v>
      </c>
      <c r="V11" s="22" t="s">
        <v>129</v>
      </c>
      <c r="W11" s="22" t="n">
        <v>2015</v>
      </c>
      <c r="X11" s="22" t="n">
        <v>42287</v>
      </c>
      <c r="Y11" s="22" t="n">
        <v>2000</v>
      </c>
      <c r="Z11" s="22" t="n">
        <v>2000</v>
      </c>
      <c r="AA11" s="22" t="s">
        <v>23</v>
      </c>
      <c r="AB11" s="22" t="s">
        <v>130</v>
      </c>
      <c r="AC11" s="22" t="s">
        <v>131</v>
      </c>
      <c r="AD11" s="22" t="s">
        <v>132</v>
      </c>
      <c r="AE11" s="22" t="s">
        <v>211</v>
      </c>
      <c r="AF11" s="22" t="s">
        <v>212</v>
      </c>
      <c r="AG11" s="22" t="s">
        <v>213</v>
      </c>
      <c r="AH11" s="22" t="s">
        <v>136</v>
      </c>
      <c r="AI11" s="22" t="s">
        <v>137</v>
      </c>
      <c r="AJ11" s="22" t="n">
        <v>26</v>
      </c>
      <c r="AK11" s="22" t="n">
        <v>1</v>
      </c>
      <c r="AL11" s="22" t="n">
        <v>2</v>
      </c>
      <c r="AM11" s="22" t="n">
        <f aca="false">AL11+AK11+AJ11</f>
        <v>29</v>
      </c>
      <c r="AN11" s="22" t="n">
        <v>28</v>
      </c>
      <c r="AO11" s="22" t="n">
        <v>12</v>
      </c>
      <c r="AP11" s="22" t="n">
        <f aca="false">AN11+AO11</f>
        <v>40</v>
      </c>
      <c r="AQ11" s="22" t="n">
        <v>1</v>
      </c>
      <c r="AR11" s="22" t="n">
        <v>1</v>
      </c>
      <c r="AS11" s="22" t="n">
        <v>0</v>
      </c>
      <c r="AT11" s="22" t="n">
        <v>0</v>
      </c>
      <c r="AU11" s="22" t="n">
        <v>1</v>
      </c>
      <c r="AV11" s="22" t="n">
        <v>0</v>
      </c>
      <c r="AW11" s="22" t="n">
        <v>0</v>
      </c>
      <c r="AX11" s="22" t="n">
        <v>0</v>
      </c>
      <c r="AY11" s="22" t="s">
        <v>160</v>
      </c>
      <c r="AZ11" s="22" t="s">
        <v>214</v>
      </c>
      <c r="BA11" s="21"/>
    </row>
    <row r="12" customFormat="false" ht="14.25" hidden="false" customHeight="false" outlineLevel="0" collapsed="false">
      <c r="B12" s="22" t="n">
        <v>11</v>
      </c>
      <c r="C12" s="22" t="s">
        <v>215</v>
      </c>
      <c r="D12" s="22" t="s">
        <v>16</v>
      </c>
      <c r="E12" s="22" t="s">
        <v>21</v>
      </c>
      <c r="F12" s="22" t="n">
        <v>50005304</v>
      </c>
      <c r="G12" s="22" t="s">
        <v>120</v>
      </c>
      <c r="H12" s="22" t="s">
        <v>141</v>
      </c>
      <c r="I12" s="22" t="s">
        <v>122</v>
      </c>
      <c r="J12" s="22" t="s">
        <v>123</v>
      </c>
      <c r="K12" s="22" t="s">
        <v>123</v>
      </c>
      <c r="L12" s="22" t="s">
        <v>53</v>
      </c>
      <c r="M12" s="22" t="s">
        <v>124</v>
      </c>
      <c r="N12" s="22" t="s">
        <v>216</v>
      </c>
      <c r="O12" s="22" t="n">
        <v>12313</v>
      </c>
      <c r="P12" s="22" t="s">
        <v>217</v>
      </c>
      <c r="Q12" s="22" t="s">
        <v>127</v>
      </c>
      <c r="R12" s="22" t="s">
        <v>218</v>
      </c>
      <c r="S12" s="22" t="n">
        <v>815314</v>
      </c>
      <c r="T12" s="22" t="n">
        <v>24.515045</v>
      </c>
      <c r="U12" s="22" t="n">
        <v>86.190882</v>
      </c>
      <c r="V12" s="22" t="s">
        <v>129</v>
      </c>
      <c r="W12" s="22" t="n">
        <v>2023</v>
      </c>
      <c r="X12" s="22" t="n">
        <v>45286</v>
      </c>
      <c r="Y12" s="22" t="n">
        <v>700</v>
      </c>
      <c r="Z12" s="22" t="n">
        <v>700</v>
      </c>
      <c r="AA12" s="22" t="s">
        <v>23</v>
      </c>
      <c r="AB12" s="22" t="s">
        <v>130</v>
      </c>
      <c r="AC12" s="22" t="s">
        <v>131</v>
      </c>
      <c r="AD12" s="22" t="s">
        <v>132</v>
      </c>
      <c r="AE12" s="22" t="s">
        <v>219</v>
      </c>
      <c r="AF12" s="22" t="s">
        <v>220</v>
      </c>
      <c r="AG12" s="22" t="s">
        <v>221</v>
      </c>
      <c r="AH12" s="22" t="s">
        <v>136</v>
      </c>
      <c r="AI12" s="22" t="s">
        <v>137</v>
      </c>
      <c r="AJ12" s="22" t="n">
        <v>6</v>
      </c>
      <c r="AK12" s="22" t="n">
        <v>1</v>
      </c>
      <c r="AL12" s="22" t="n">
        <v>0</v>
      </c>
      <c r="AM12" s="22" t="n">
        <f aca="false">AL12+AK12+AJ12</f>
        <v>7</v>
      </c>
      <c r="AN12" s="22" t="n">
        <v>2</v>
      </c>
      <c r="AO12" s="22" t="n">
        <v>3</v>
      </c>
      <c r="AP12" s="22" t="n">
        <f aca="false">AN12+AO12</f>
        <v>5</v>
      </c>
      <c r="AQ12" s="22" t="n">
        <v>1</v>
      </c>
      <c r="AR12" s="22" t="n">
        <v>1</v>
      </c>
      <c r="AS12" s="22" t="n">
        <v>0</v>
      </c>
      <c r="AT12" s="22" t="n">
        <v>0</v>
      </c>
      <c r="AU12" s="22" t="n">
        <v>1</v>
      </c>
      <c r="AV12" s="22" t="n">
        <v>0</v>
      </c>
      <c r="AW12" s="22" t="n">
        <v>0</v>
      </c>
      <c r="AX12" s="22" t="n">
        <v>0</v>
      </c>
      <c r="AY12" s="22" t="s">
        <v>138</v>
      </c>
      <c r="AZ12" s="22" t="s">
        <v>139</v>
      </c>
      <c r="BA12" s="21"/>
    </row>
    <row r="13" customFormat="false" ht="14.25" hidden="false" customHeight="false" outlineLevel="0" collapsed="false">
      <c r="B13" s="22" t="n">
        <v>12</v>
      </c>
      <c r="C13" s="22" t="s">
        <v>222</v>
      </c>
      <c r="D13" s="22" t="s">
        <v>16</v>
      </c>
      <c r="E13" s="22" t="s">
        <v>21</v>
      </c>
      <c r="F13" s="22" t="n">
        <v>50000199</v>
      </c>
      <c r="G13" s="22" t="s">
        <v>120</v>
      </c>
      <c r="H13" s="22" t="s">
        <v>207</v>
      </c>
      <c r="I13" s="22" t="s">
        <v>122</v>
      </c>
      <c r="J13" s="22" t="s">
        <v>222</v>
      </c>
      <c r="K13" s="22" t="s">
        <v>222</v>
      </c>
      <c r="L13" s="22" t="s">
        <v>53</v>
      </c>
      <c r="M13" s="22" t="s">
        <v>153</v>
      </c>
      <c r="N13" s="22" t="s">
        <v>223</v>
      </c>
      <c r="O13" s="22" t="n">
        <v>418</v>
      </c>
      <c r="P13" s="22" t="s">
        <v>224</v>
      </c>
      <c r="Q13" s="22" t="s">
        <v>225</v>
      </c>
      <c r="R13" s="22" t="s">
        <v>226</v>
      </c>
      <c r="S13" s="22" t="n">
        <v>828106</v>
      </c>
      <c r="T13" s="22" t="n">
        <v>23.783363</v>
      </c>
      <c r="U13" s="22" t="n">
        <v>86.416363</v>
      </c>
      <c r="V13" s="22" t="s">
        <v>129</v>
      </c>
      <c r="W13" s="22" t="n">
        <v>2014</v>
      </c>
      <c r="X13" s="22" t="n">
        <v>43634</v>
      </c>
      <c r="Y13" s="22" t="n">
        <v>1861</v>
      </c>
      <c r="Z13" s="22" t="n">
        <v>1861</v>
      </c>
      <c r="AA13" s="22" t="s">
        <v>23</v>
      </c>
      <c r="AB13" s="22" t="s">
        <v>130</v>
      </c>
      <c r="AC13" s="22" t="s">
        <v>131</v>
      </c>
      <c r="AD13" s="22" t="s">
        <v>132</v>
      </c>
      <c r="AE13" s="22" t="s">
        <v>227</v>
      </c>
      <c r="AF13" s="22" t="s">
        <v>228</v>
      </c>
      <c r="AG13" s="22" t="s">
        <v>229</v>
      </c>
      <c r="AH13" s="22" t="s">
        <v>230</v>
      </c>
      <c r="AI13" s="22" t="s">
        <v>137</v>
      </c>
      <c r="AJ13" s="22" t="n">
        <v>36</v>
      </c>
      <c r="AK13" s="22" t="n">
        <v>2</v>
      </c>
      <c r="AL13" s="22" t="n">
        <v>0</v>
      </c>
      <c r="AM13" s="22" t="n">
        <f aca="false">AL13+AK13+AJ13</f>
        <v>38</v>
      </c>
      <c r="AN13" s="22" t="n">
        <v>76</v>
      </c>
      <c r="AO13" s="22" t="n">
        <v>27</v>
      </c>
      <c r="AP13" s="22" t="n">
        <f aca="false">AN13+AO13</f>
        <v>103</v>
      </c>
      <c r="AQ13" s="22" t="n">
        <v>1</v>
      </c>
      <c r="AR13" s="22" t="n">
        <v>1</v>
      </c>
      <c r="AS13" s="22" t="n">
        <v>0</v>
      </c>
      <c r="AT13" s="22" t="n">
        <v>1</v>
      </c>
      <c r="AU13" s="22" t="n">
        <v>1</v>
      </c>
      <c r="AV13" s="22" t="n">
        <v>1</v>
      </c>
      <c r="AW13" s="22" t="n">
        <v>1</v>
      </c>
      <c r="AX13" s="22" t="n">
        <v>0</v>
      </c>
      <c r="AY13" s="22" t="s">
        <v>160</v>
      </c>
      <c r="AZ13" s="22" t="s">
        <v>139</v>
      </c>
      <c r="BA13" s="21"/>
    </row>
    <row r="14" customFormat="false" ht="14.25" hidden="false" customHeight="false" outlineLevel="0" collapsed="false">
      <c r="B14" s="22" t="n">
        <v>13</v>
      </c>
      <c r="C14" s="22" t="s">
        <v>231</v>
      </c>
      <c r="D14" s="22" t="s">
        <v>16</v>
      </c>
      <c r="E14" s="22" t="s">
        <v>21</v>
      </c>
      <c r="F14" s="22" t="n">
        <v>50000216</v>
      </c>
      <c r="G14" s="22" t="s">
        <v>120</v>
      </c>
      <c r="H14" s="22" t="s">
        <v>152</v>
      </c>
      <c r="I14" s="22" t="s">
        <v>122</v>
      </c>
      <c r="J14" s="22" t="s">
        <v>231</v>
      </c>
      <c r="K14" s="22" t="s">
        <v>231</v>
      </c>
      <c r="L14" s="22" t="s">
        <v>53</v>
      </c>
      <c r="M14" s="22" t="s">
        <v>153</v>
      </c>
      <c r="N14" s="22" t="s">
        <v>232</v>
      </c>
      <c r="O14" s="22" t="n">
        <v>882</v>
      </c>
      <c r="P14" s="22" t="s">
        <v>233</v>
      </c>
      <c r="Q14" s="22" t="s">
        <v>146</v>
      </c>
      <c r="R14" s="22" t="s">
        <v>234</v>
      </c>
      <c r="S14" s="22" t="n">
        <v>814101</v>
      </c>
      <c r="T14" s="22" t="n">
        <v>24.272128</v>
      </c>
      <c r="U14" s="22" t="n">
        <v>87.245744</v>
      </c>
      <c r="V14" s="22" t="s">
        <v>129</v>
      </c>
      <c r="W14" s="22" t="n">
        <v>2016</v>
      </c>
      <c r="X14" s="22" t="n">
        <v>42564</v>
      </c>
      <c r="Y14" s="22" t="n">
        <v>820</v>
      </c>
      <c r="Z14" s="22" t="n">
        <v>820</v>
      </c>
      <c r="AA14" s="22" t="s">
        <v>23</v>
      </c>
      <c r="AB14" s="22" t="s">
        <v>130</v>
      </c>
      <c r="AC14" s="22" t="s">
        <v>131</v>
      </c>
      <c r="AD14" s="22" t="s">
        <v>132</v>
      </c>
      <c r="AE14" s="22" t="s">
        <v>235</v>
      </c>
      <c r="AF14" s="22" t="s">
        <v>236</v>
      </c>
      <c r="AG14" s="22" t="s">
        <v>237</v>
      </c>
      <c r="AH14" s="22" t="s">
        <v>136</v>
      </c>
      <c r="AI14" s="22" t="s">
        <v>137</v>
      </c>
      <c r="AJ14" s="22" t="n">
        <v>10</v>
      </c>
      <c r="AK14" s="22" t="n">
        <v>1</v>
      </c>
      <c r="AL14" s="22" t="n">
        <v>0</v>
      </c>
      <c r="AM14" s="22" t="n">
        <f aca="false">AL14+AK14+AJ14</f>
        <v>11</v>
      </c>
      <c r="AN14" s="22" t="n">
        <v>13</v>
      </c>
      <c r="AO14" s="22" t="n">
        <v>6</v>
      </c>
      <c r="AP14" s="22" t="n">
        <f aca="false">AN14+AO14</f>
        <v>19</v>
      </c>
      <c r="AQ14" s="22" t="n">
        <v>0</v>
      </c>
      <c r="AR14" s="22" t="n">
        <v>0</v>
      </c>
      <c r="AS14" s="22" t="n">
        <v>1</v>
      </c>
      <c r="AT14" s="22" t="n">
        <v>0</v>
      </c>
      <c r="AU14" s="22" t="n">
        <v>1</v>
      </c>
      <c r="AV14" s="22" t="n">
        <v>0</v>
      </c>
      <c r="AW14" s="22" t="n">
        <v>0</v>
      </c>
      <c r="AX14" s="22" t="n">
        <v>0</v>
      </c>
      <c r="AY14" s="22" t="s">
        <v>160</v>
      </c>
      <c r="AZ14" s="22" t="s">
        <v>139</v>
      </c>
      <c r="BA14" s="21"/>
    </row>
    <row r="15" customFormat="false" ht="14.25" hidden="false" customHeight="false" outlineLevel="0" collapsed="false">
      <c r="B15" s="22" t="n">
        <v>14</v>
      </c>
      <c r="C15" s="22" t="s">
        <v>238</v>
      </c>
      <c r="D15" s="22" t="s">
        <v>16</v>
      </c>
      <c r="E15" s="22" t="s">
        <v>21</v>
      </c>
      <c r="F15" s="22" t="n">
        <v>50002599</v>
      </c>
      <c r="G15" s="22" t="s">
        <v>120</v>
      </c>
      <c r="H15" s="22" t="s">
        <v>207</v>
      </c>
      <c r="I15" s="22" t="s">
        <v>122</v>
      </c>
      <c r="J15" s="22" t="s">
        <v>123</v>
      </c>
      <c r="K15" s="22" t="s">
        <v>123</v>
      </c>
      <c r="L15" s="22" t="s">
        <v>53</v>
      </c>
      <c r="M15" s="22" t="s">
        <v>153</v>
      </c>
      <c r="N15" s="22" t="s">
        <v>239</v>
      </c>
      <c r="O15" s="22" t="n">
        <v>9342</v>
      </c>
      <c r="P15" s="22" t="s">
        <v>240</v>
      </c>
      <c r="Q15" s="22" t="s">
        <v>127</v>
      </c>
      <c r="R15" s="22" t="s">
        <v>241</v>
      </c>
      <c r="S15" s="22" t="n">
        <v>825167</v>
      </c>
      <c r="T15" s="22" t="n">
        <v>23.983687</v>
      </c>
      <c r="U15" s="22" t="n">
        <v>86.032133</v>
      </c>
      <c r="V15" s="22" t="s">
        <v>129</v>
      </c>
      <c r="W15" s="22" t="n">
        <v>2023</v>
      </c>
      <c r="X15" s="22" t="n">
        <v>45219</v>
      </c>
      <c r="Y15" s="22" t="n">
        <v>1000</v>
      </c>
      <c r="Z15" s="22" t="n">
        <v>1000</v>
      </c>
      <c r="AA15" s="22" t="s">
        <v>23</v>
      </c>
      <c r="AB15" s="22" t="s">
        <v>130</v>
      </c>
      <c r="AC15" s="22" t="s">
        <v>131</v>
      </c>
      <c r="AD15" s="22" t="s">
        <v>132</v>
      </c>
      <c r="AE15" s="22" t="s">
        <v>242</v>
      </c>
      <c r="AF15" s="22" t="s">
        <v>243</v>
      </c>
      <c r="AG15" s="22" t="s">
        <v>244</v>
      </c>
      <c r="AH15" s="22" t="s">
        <v>136</v>
      </c>
      <c r="AI15" s="22" t="s">
        <v>137</v>
      </c>
      <c r="AJ15" s="22" t="n">
        <v>6</v>
      </c>
      <c r="AK15" s="22" t="n">
        <v>2</v>
      </c>
      <c r="AL15" s="22" t="n">
        <v>0</v>
      </c>
      <c r="AM15" s="22" t="n">
        <f aca="false">AL15+AK15+AJ15</f>
        <v>8</v>
      </c>
      <c r="AN15" s="22" t="n">
        <v>3</v>
      </c>
      <c r="AO15" s="22" t="n">
        <v>3</v>
      </c>
      <c r="AP15" s="22" t="n">
        <f aca="false">AN15+AO15</f>
        <v>6</v>
      </c>
      <c r="AQ15" s="22" t="n">
        <v>1</v>
      </c>
      <c r="AR15" s="22" t="n">
        <v>1</v>
      </c>
      <c r="AS15" s="22" t="n">
        <v>0</v>
      </c>
      <c r="AT15" s="22" t="n">
        <v>0</v>
      </c>
      <c r="AU15" s="22" t="n">
        <v>1</v>
      </c>
      <c r="AV15" s="22" t="n">
        <v>0</v>
      </c>
      <c r="AW15" s="22" t="n">
        <v>0</v>
      </c>
      <c r="AX15" s="22" t="n">
        <v>0</v>
      </c>
      <c r="AY15" s="22" t="s">
        <v>138</v>
      </c>
      <c r="AZ15" s="22" t="s">
        <v>139</v>
      </c>
      <c r="BA15" s="21"/>
    </row>
    <row r="16" customFormat="false" ht="14.25" hidden="false" customHeight="false" outlineLevel="0" collapsed="false">
      <c r="B16" s="22" t="n">
        <v>15</v>
      </c>
      <c r="C16" s="22" t="s">
        <v>245</v>
      </c>
      <c r="D16" s="22" t="s">
        <v>16</v>
      </c>
      <c r="E16" s="22" t="s">
        <v>21</v>
      </c>
      <c r="F16" s="22" t="n">
        <v>50005410</v>
      </c>
      <c r="G16" s="22" t="s">
        <v>120</v>
      </c>
      <c r="H16" s="22" t="s">
        <v>141</v>
      </c>
      <c r="I16" s="22" t="s">
        <v>122</v>
      </c>
      <c r="J16" s="22" t="s">
        <v>192</v>
      </c>
      <c r="K16" s="22" t="s">
        <v>192</v>
      </c>
      <c r="L16" s="22" t="s">
        <v>53</v>
      </c>
      <c r="M16" s="22" t="s">
        <v>153</v>
      </c>
      <c r="N16" s="22" t="s">
        <v>246</v>
      </c>
      <c r="O16" s="22" t="n">
        <v>12375</v>
      </c>
      <c r="P16" s="22" t="s">
        <v>247</v>
      </c>
      <c r="Q16" s="22" t="s">
        <v>127</v>
      </c>
      <c r="R16" s="22" t="s">
        <v>248</v>
      </c>
      <c r="S16" s="22" t="n">
        <v>832108</v>
      </c>
      <c r="T16" s="22" t="n">
        <v>22.812262</v>
      </c>
      <c r="U16" s="22" t="n">
        <v>86.107336</v>
      </c>
      <c r="V16" s="22" t="s">
        <v>129</v>
      </c>
      <c r="W16" s="22" t="n">
        <v>2023</v>
      </c>
      <c r="X16" s="22" t="n">
        <v>45219</v>
      </c>
      <c r="Y16" s="22" t="n">
        <v>785</v>
      </c>
      <c r="Z16" s="22" t="n">
        <v>785</v>
      </c>
      <c r="AA16" s="22" t="s">
        <v>23</v>
      </c>
      <c r="AB16" s="22" t="s">
        <v>130</v>
      </c>
      <c r="AC16" s="22" t="s">
        <v>131</v>
      </c>
      <c r="AD16" s="22" t="s">
        <v>132</v>
      </c>
      <c r="AE16" s="22" t="s">
        <v>249</v>
      </c>
      <c r="AF16" s="22" t="s">
        <v>250</v>
      </c>
      <c r="AG16" s="22" t="s">
        <v>251</v>
      </c>
      <c r="AH16" s="22" t="s">
        <v>136</v>
      </c>
      <c r="AI16" s="22" t="s">
        <v>137</v>
      </c>
      <c r="AJ16" s="22" t="n">
        <v>4</v>
      </c>
      <c r="AK16" s="22" t="n">
        <v>1</v>
      </c>
      <c r="AL16" s="22" t="n">
        <v>0</v>
      </c>
      <c r="AM16" s="22" t="n">
        <f aca="false">AL16+AK16+AJ16</f>
        <v>5</v>
      </c>
      <c r="AN16" s="22" t="n">
        <v>4</v>
      </c>
      <c r="AO16" s="22" t="n">
        <v>3</v>
      </c>
      <c r="AP16" s="22" t="n">
        <f aca="false">AN16+AO16</f>
        <v>7</v>
      </c>
      <c r="AQ16" s="22" t="n">
        <v>0</v>
      </c>
      <c r="AR16" s="22" t="n">
        <v>0</v>
      </c>
      <c r="AS16" s="22" t="n">
        <v>1</v>
      </c>
      <c r="AT16" s="22" t="n">
        <v>0</v>
      </c>
      <c r="AU16" s="22" t="n">
        <v>1</v>
      </c>
      <c r="AV16" s="22" t="n">
        <v>0</v>
      </c>
      <c r="AW16" s="22" t="n">
        <v>0</v>
      </c>
      <c r="AX16" s="22" t="n">
        <v>0</v>
      </c>
      <c r="AY16" s="22" t="s">
        <v>138</v>
      </c>
      <c r="AZ16" s="22" t="s">
        <v>139</v>
      </c>
      <c r="BA16" s="21"/>
    </row>
    <row r="17" customFormat="false" ht="14.25" hidden="false" customHeight="false" outlineLevel="0" collapsed="false">
      <c r="B17" s="22" t="n">
        <v>16</v>
      </c>
      <c r="C17" s="22" t="s">
        <v>143</v>
      </c>
      <c r="D17" s="22" t="s">
        <v>16</v>
      </c>
      <c r="E17" s="22" t="s">
        <v>21</v>
      </c>
      <c r="F17" s="22" t="n">
        <v>50001675</v>
      </c>
      <c r="G17" s="22" t="s">
        <v>120</v>
      </c>
      <c r="H17" s="22" t="s">
        <v>121</v>
      </c>
      <c r="I17" s="22" t="s">
        <v>122</v>
      </c>
      <c r="J17" s="22" t="s">
        <v>143</v>
      </c>
      <c r="K17" s="22" t="s">
        <v>143</v>
      </c>
      <c r="L17" s="22" t="s">
        <v>53</v>
      </c>
      <c r="M17" s="22" t="s">
        <v>124</v>
      </c>
      <c r="N17" s="22" t="s">
        <v>252</v>
      </c>
      <c r="O17" s="22" t="n">
        <v>7731</v>
      </c>
      <c r="P17" s="22" t="s">
        <v>253</v>
      </c>
      <c r="Q17" s="22" t="s">
        <v>127</v>
      </c>
      <c r="R17" s="22" t="s">
        <v>254</v>
      </c>
      <c r="S17" s="22" t="n">
        <v>822114</v>
      </c>
      <c r="T17" s="22" t="n">
        <v>24.157499</v>
      </c>
      <c r="U17" s="22" t="n">
        <v>83.802802</v>
      </c>
      <c r="V17" s="22" t="s">
        <v>129</v>
      </c>
      <c r="W17" s="22" t="n">
        <v>2021</v>
      </c>
      <c r="X17" s="22" t="n">
        <v>44484</v>
      </c>
      <c r="Y17" s="22" t="n">
        <v>1000</v>
      </c>
      <c r="Z17" s="22" t="n">
        <v>1000</v>
      </c>
      <c r="AA17" s="22" t="s">
        <v>23</v>
      </c>
      <c r="AB17" s="22" t="s">
        <v>130</v>
      </c>
      <c r="AC17" s="22" t="s">
        <v>131</v>
      </c>
      <c r="AD17" s="22" t="s">
        <v>132</v>
      </c>
      <c r="AE17" s="22" t="s">
        <v>249</v>
      </c>
      <c r="AF17" s="22" t="s">
        <v>255</v>
      </c>
      <c r="AG17" s="22" t="s">
        <v>251</v>
      </c>
      <c r="AH17" s="22" t="s">
        <v>136</v>
      </c>
      <c r="AI17" s="22" t="s">
        <v>137</v>
      </c>
      <c r="AJ17" s="22" t="n">
        <v>12</v>
      </c>
      <c r="AK17" s="22" t="n">
        <v>1</v>
      </c>
      <c r="AL17" s="22" t="n">
        <v>2</v>
      </c>
      <c r="AM17" s="22" t="n">
        <f aca="false">AL17+AK17+AJ17</f>
        <v>15</v>
      </c>
      <c r="AN17" s="22" t="n">
        <v>16</v>
      </c>
      <c r="AO17" s="22" t="n">
        <v>6</v>
      </c>
      <c r="AP17" s="22" t="n">
        <f aca="false">AN17+AO17</f>
        <v>22</v>
      </c>
      <c r="AQ17" s="22" t="n">
        <v>1</v>
      </c>
      <c r="AR17" s="22" t="n">
        <v>1</v>
      </c>
      <c r="AS17" s="22" t="n">
        <v>0</v>
      </c>
      <c r="AT17" s="22" t="n">
        <v>0</v>
      </c>
      <c r="AU17" s="22" t="n">
        <v>1</v>
      </c>
      <c r="AV17" s="22" t="n">
        <v>0</v>
      </c>
      <c r="AW17" s="22" t="n">
        <v>0</v>
      </c>
      <c r="AX17" s="22" t="n">
        <v>0</v>
      </c>
      <c r="AY17" s="22" t="s">
        <v>160</v>
      </c>
      <c r="AZ17" s="22" t="s">
        <v>139</v>
      </c>
      <c r="BA17" s="21"/>
    </row>
    <row r="18" customFormat="false" ht="14.25" hidden="false" customHeight="false" outlineLevel="0" collapsed="false">
      <c r="B18" s="22" t="n">
        <v>17</v>
      </c>
      <c r="C18" s="22" t="s">
        <v>256</v>
      </c>
      <c r="D18" s="22" t="s">
        <v>16</v>
      </c>
      <c r="E18" s="22" t="s">
        <v>21</v>
      </c>
      <c r="F18" s="22" t="n">
        <v>50001676</v>
      </c>
      <c r="G18" s="22" t="s">
        <v>120</v>
      </c>
      <c r="H18" s="22" t="s">
        <v>121</v>
      </c>
      <c r="I18" s="22" t="s">
        <v>122</v>
      </c>
      <c r="J18" s="22" t="s">
        <v>257</v>
      </c>
      <c r="K18" s="22" t="s">
        <v>258</v>
      </c>
      <c r="L18" s="22" t="s">
        <v>53</v>
      </c>
      <c r="M18" s="22" t="s">
        <v>124</v>
      </c>
      <c r="N18" s="22" t="s">
        <v>259</v>
      </c>
      <c r="O18" s="22" t="n">
        <v>7732</v>
      </c>
      <c r="P18" s="22" t="s">
        <v>260</v>
      </c>
      <c r="Q18" s="22" t="s">
        <v>127</v>
      </c>
      <c r="R18" s="22" t="s">
        <v>261</v>
      </c>
      <c r="S18" s="22" t="n">
        <v>832303</v>
      </c>
      <c r="T18" s="22" t="n">
        <v>22.587238</v>
      </c>
      <c r="U18" s="22" t="n">
        <v>86.4717864</v>
      </c>
      <c r="V18" s="22" t="s">
        <v>129</v>
      </c>
      <c r="W18" s="22" t="n">
        <v>2019</v>
      </c>
      <c r="X18" s="22" t="n">
        <v>43776</v>
      </c>
      <c r="Y18" s="22" t="n">
        <v>1100</v>
      </c>
      <c r="Z18" s="22" t="n">
        <v>1100</v>
      </c>
      <c r="AA18" s="22" t="s">
        <v>23</v>
      </c>
      <c r="AB18" s="22" t="s">
        <v>130</v>
      </c>
      <c r="AC18" s="22" t="s">
        <v>131</v>
      </c>
      <c r="AD18" s="22" t="s">
        <v>132</v>
      </c>
      <c r="AE18" s="22" t="s">
        <v>262</v>
      </c>
      <c r="AF18" s="22" t="s">
        <v>263</v>
      </c>
      <c r="AG18" s="22" t="s">
        <v>264</v>
      </c>
      <c r="AH18" s="22" t="s">
        <v>136</v>
      </c>
      <c r="AI18" s="22" t="s">
        <v>137</v>
      </c>
      <c r="AJ18" s="22" t="n">
        <v>12</v>
      </c>
      <c r="AK18" s="22" t="n">
        <v>1</v>
      </c>
      <c r="AL18" s="22" t="n">
        <v>2</v>
      </c>
      <c r="AM18" s="22" t="n">
        <f aca="false">AL18+AK18+AJ18</f>
        <v>15</v>
      </c>
      <c r="AN18" s="22" t="n">
        <v>8</v>
      </c>
      <c r="AO18" s="22" t="n">
        <v>6</v>
      </c>
      <c r="AP18" s="22" t="n">
        <f aca="false">AN18+AO18</f>
        <v>14</v>
      </c>
      <c r="AQ18" s="22" t="n">
        <v>0</v>
      </c>
      <c r="AR18" s="22" t="n">
        <v>0</v>
      </c>
      <c r="AS18" s="22" t="n">
        <v>1</v>
      </c>
      <c r="AT18" s="22" t="n">
        <v>0</v>
      </c>
      <c r="AU18" s="22" t="n">
        <v>1</v>
      </c>
      <c r="AV18" s="22" t="n">
        <v>0</v>
      </c>
      <c r="AW18" s="22" t="n">
        <v>0</v>
      </c>
      <c r="AX18" s="22" t="n">
        <v>0</v>
      </c>
      <c r="AY18" s="22" t="s">
        <v>138</v>
      </c>
      <c r="AZ18" s="22" t="s">
        <v>139</v>
      </c>
      <c r="BA18" s="21"/>
    </row>
    <row r="19" customFormat="false" ht="14.25" hidden="false" customHeight="false" outlineLevel="0" collapsed="false">
      <c r="B19" s="22" t="n">
        <v>18</v>
      </c>
      <c r="C19" s="22" t="s">
        <v>123</v>
      </c>
      <c r="D19" s="22" t="s">
        <v>16</v>
      </c>
      <c r="E19" s="22" t="s">
        <v>21</v>
      </c>
      <c r="F19" s="22" t="n">
        <v>50000234</v>
      </c>
      <c r="G19" s="22" t="s">
        <v>120</v>
      </c>
      <c r="H19" s="22" t="s">
        <v>152</v>
      </c>
      <c r="I19" s="22" t="s">
        <v>122</v>
      </c>
      <c r="J19" s="22" t="s">
        <v>123</v>
      </c>
      <c r="K19" s="22" t="s">
        <v>123</v>
      </c>
      <c r="L19" s="22" t="s">
        <v>53</v>
      </c>
      <c r="M19" s="22" t="s">
        <v>153</v>
      </c>
      <c r="N19" s="22" t="s">
        <v>265</v>
      </c>
      <c r="O19" s="22" t="n">
        <v>881</v>
      </c>
      <c r="P19" s="22" t="s">
        <v>266</v>
      </c>
      <c r="Q19" s="22" t="s">
        <v>127</v>
      </c>
      <c r="R19" s="22" t="s">
        <v>267</v>
      </c>
      <c r="S19" s="22" t="n">
        <v>815301</v>
      </c>
      <c r="T19" s="22" t="n">
        <v>24.194886</v>
      </c>
      <c r="U19" s="22" t="n">
        <v>86.309459</v>
      </c>
      <c r="V19" s="22" t="s">
        <v>129</v>
      </c>
      <c r="W19" s="22" t="n">
        <v>2016</v>
      </c>
      <c r="X19" s="22" t="n">
        <v>42571</v>
      </c>
      <c r="Y19" s="22" t="n">
        <v>1015</v>
      </c>
      <c r="Z19" s="22" t="n">
        <v>1015</v>
      </c>
      <c r="AA19" s="22" t="s">
        <v>23</v>
      </c>
      <c r="AB19" s="22" t="s">
        <v>130</v>
      </c>
      <c r="AC19" s="22" t="s">
        <v>131</v>
      </c>
      <c r="AD19" s="22" t="s">
        <v>132</v>
      </c>
      <c r="AE19" s="22" t="s">
        <v>268</v>
      </c>
      <c r="AF19" s="22" t="s">
        <v>269</v>
      </c>
      <c r="AG19" s="22" t="s">
        <v>270</v>
      </c>
      <c r="AH19" s="22" t="s">
        <v>136</v>
      </c>
      <c r="AI19" s="22" t="s">
        <v>137</v>
      </c>
      <c r="AJ19" s="22" t="n">
        <v>18</v>
      </c>
      <c r="AK19" s="22" t="n">
        <v>1</v>
      </c>
      <c r="AL19" s="22" t="n">
        <v>0</v>
      </c>
      <c r="AM19" s="22" t="n">
        <f aca="false">AL19+AK19+AJ19</f>
        <v>19</v>
      </c>
      <c r="AN19" s="22" t="n">
        <v>21</v>
      </c>
      <c r="AO19" s="22" t="n">
        <v>6</v>
      </c>
      <c r="AP19" s="22" t="n">
        <f aca="false">AN19+AO19</f>
        <v>27</v>
      </c>
      <c r="AQ19" s="22" t="n">
        <v>0</v>
      </c>
      <c r="AR19" s="22" t="n">
        <v>0</v>
      </c>
      <c r="AS19" s="22" t="n">
        <v>1</v>
      </c>
      <c r="AT19" s="22" t="n">
        <v>0</v>
      </c>
      <c r="AU19" s="22" t="n">
        <v>1</v>
      </c>
      <c r="AV19" s="22" t="n">
        <v>0</v>
      </c>
      <c r="AW19" s="22" t="n">
        <v>0</v>
      </c>
      <c r="AX19" s="22" t="n">
        <v>0</v>
      </c>
      <c r="AY19" s="22" t="s">
        <v>160</v>
      </c>
      <c r="AZ19" s="22" t="s">
        <v>139</v>
      </c>
      <c r="BA19" s="21"/>
    </row>
    <row r="20" customFormat="false" ht="14.25" hidden="false" customHeight="false" outlineLevel="0" collapsed="false">
      <c r="B20" s="22" t="n">
        <v>19</v>
      </c>
      <c r="C20" s="22" t="s">
        <v>271</v>
      </c>
      <c r="D20" s="22" t="s">
        <v>16</v>
      </c>
      <c r="E20" s="22" t="s">
        <v>21</v>
      </c>
      <c r="F20" s="22" t="n">
        <v>50005417</v>
      </c>
      <c r="G20" s="22" t="s">
        <v>120</v>
      </c>
      <c r="H20" s="22" t="s">
        <v>141</v>
      </c>
      <c r="I20" s="22" t="s">
        <v>122</v>
      </c>
      <c r="J20" s="22" t="s">
        <v>222</v>
      </c>
      <c r="K20" s="22" t="s">
        <v>222</v>
      </c>
      <c r="L20" s="22" t="s">
        <v>53</v>
      </c>
      <c r="M20" s="22" t="s">
        <v>153</v>
      </c>
      <c r="N20" s="22" t="s">
        <v>272</v>
      </c>
      <c r="O20" s="22" t="n">
        <v>12376</v>
      </c>
      <c r="P20" s="22" t="s">
        <v>273</v>
      </c>
      <c r="Q20" s="22" t="s">
        <v>127</v>
      </c>
      <c r="R20" s="22" t="s">
        <v>274</v>
      </c>
      <c r="S20" s="22" t="n">
        <v>828109</v>
      </c>
      <c r="T20" s="22" t="n">
        <v>23.831726</v>
      </c>
      <c r="U20" s="22" t="n">
        <v>86.523512</v>
      </c>
      <c r="V20" s="22" t="s">
        <v>129</v>
      </c>
      <c r="W20" s="22" t="n">
        <v>2023</v>
      </c>
      <c r="X20" s="22" t="n">
        <v>45286</v>
      </c>
      <c r="Y20" s="22" t="n">
        <v>600</v>
      </c>
      <c r="Z20" s="22" t="n">
        <v>600</v>
      </c>
      <c r="AA20" s="22" t="s">
        <v>23</v>
      </c>
      <c r="AB20" s="22" t="s">
        <v>130</v>
      </c>
      <c r="AC20" s="22" t="s">
        <v>131</v>
      </c>
      <c r="AD20" s="22" t="s">
        <v>132</v>
      </c>
      <c r="AE20" s="22" t="s">
        <v>275</v>
      </c>
      <c r="AF20" s="22" t="s">
        <v>276</v>
      </c>
      <c r="AG20" s="22" t="s">
        <v>277</v>
      </c>
      <c r="AH20" s="22" t="s">
        <v>136</v>
      </c>
      <c r="AI20" s="22" t="s">
        <v>137</v>
      </c>
      <c r="AJ20" s="22" t="n">
        <v>4</v>
      </c>
      <c r="AK20" s="22" t="n">
        <v>1</v>
      </c>
      <c r="AL20" s="22" t="n">
        <v>0</v>
      </c>
      <c r="AM20" s="22" t="n">
        <f aca="false">AL20+AK20+AJ20</f>
        <v>5</v>
      </c>
      <c r="AN20" s="22" t="n">
        <v>4</v>
      </c>
      <c r="AO20" s="22" t="n">
        <v>3</v>
      </c>
      <c r="AP20" s="22" t="n">
        <f aca="false">AN20+AO20</f>
        <v>7</v>
      </c>
      <c r="AQ20" s="22" t="n">
        <v>1</v>
      </c>
      <c r="AR20" s="22" t="n">
        <v>1</v>
      </c>
      <c r="AS20" s="22" t="n">
        <v>0</v>
      </c>
      <c r="AT20" s="22" t="n">
        <v>0</v>
      </c>
      <c r="AU20" s="22" t="n">
        <v>1</v>
      </c>
      <c r="AV20" s="22" t="n">
        <v>0</v>
      </c>
      <c r="AW20" s="22" t="n">
        <v>0</v>
      </c>
      <c r="AX20" s="22" t="n">
        <v>0</v>
      </c>
      <c r="AY20" s="22" t="s">
        <v>138</v>
      </c>
      <c r="AZ20" s="22" t="s">
        <v>139</v>
      </c>
      <c r="BA20" s="21"/>
    </row>
    <row r="21" customFormat="false" ht="14.25" hidden="false" customHeight="false" outlineLevel="0" collapsed="false">
      <c r="B21" s="22" t="n">
        <v>20</v>
      </c>
      <c r="C21" s="22" t="s">
        <v>278</v>
      </c>
      <c r="D21" s="22" t="s">
        <v>16</v>
      </c>
      <c r="E21" s="22" t="s">
        <v>21</v>
      </c>
      <c r="F21" s="22" t="n">
        <v>50001600</v>
      </c>
      <c r="G21" s="22" t="s">
        <v>120</v>
      </c>
      <c r="H21" s="22" t="s">
        <v>121</v>
      </c>
      <c r="I21" s="22" t="s">
        <v>122</v>
      </c>
      <c r="J21" s="22" t="s">
        <v>278</v>
      </c>
      <c r="K21" s="22" t="s">
        <v>278</v>
      </c>
      <c r="L21" s="22" t="s">
        <v>53</v>
      </c>
      <c r="M21" s="22" t="s">
        <v>124</v>
      </c>
      <c r="N21" s="22" t="s">
        <v>279</v>
      </c>
      <c r="O21" s="22" t="n">
        <v>7583</v>
      </c>
      <c r="P21" s="22" t="s">
        <v>280</v>
      </c>
      <c r="Q21" s="22" t="s">
        <v>165</v>
      </c>
      <c r="R21" s="22" t="s">
        <v>281</v>
      </c>
      <c r="S21" s="22" t="n">
        <v>814133</v>
      </c>
      <c r="T21" s="22" t="n">
        <v>24.838043</v>
      </c>
      <c r="U21" s="22" t="n">
        <v>87.214138</v>
      </c>
      <c r="V21" s="22" t="s">
        <v>129</v>
      </c>
      <c r="W21" s="22" t="n">
        <v>2019</v>
      </c>
      <c r="X21" s="22" t="n">
        <v>43670</v>
      </c>
      <c r="Y21" s="22" t="n">
        <v>1435</v>
      </c>
      <c r="Z21" s="22" t="n">
        <v>1435</v>
      </c>
      <c r="AA21" s="22" t="s">
        <v>23</v>
      </c>
      <c r="AB21" s="22" t="s">
        <v>130</v>
      </c>
      <c r="AC21" s="22" t="s">
        <v>131</v>
      </c>
      <c r="AD21" s="22" t="s">
        <v>132</v>
      </c>
      <c r="AE21" s="22" t="s">
        <v>282</v>
      </c>
      <c r="AF21" s="22" t="s">
        <v>283</v>
      </c>
      <c r="AG21" s="22" t="s">
        <v>284</v>
      </c>
      <c r="AH21" s="22" t="s">
        <v>136</v>
      </c>
      <c r="AI21" s="22" t="s">
        <v>137</v>
      </c>
      <c r="AJ21" s="22" t="n">
        <v>12</v>
      </c>
      <c r="AK21" s="22" t="n">
        <v>1</v>
      </c>
      <c r="AL21" s="22" t="n">
        <v>2</v>
      </c>
      <c r="AM21" s="22" t="n">
        <f aca="false">AL21+AK21+AJ21</f>
        <v>15</v>
      </c>
      <c r="AN21" s="22" t="n">
        <v>17</v>
      </c>
      <c r="AO21" s="22" t="n">
        <v>6</v>
      </c>
      <c r="AP21" s="22" t="n">
        <f aca="false">AN21+AO21</f>
        <v>23</v>
      </c>
      <c r="AQ21" s="22" t="n">
        <v>1</v>
      </c>
      <c r="AR21" s="22" t="n">
        <v>1</v>
      </c>
      <c r="AS21" s="22" t="n">
        <v>0</v>
      </c>
      <c r="AT21" s="22" t="n">
        <v>0</v>
      </c>
      <c r="AU21" s="22" t="n">
        <v>1</v>
      </c>
      <c r="AV21" s="22" t="n">
        <v>0</v>
      </c>
      <c r="AW21" s="22" t="n">
        <v>0</v>
      </c>
      <c r="AX21" s="22" t="n">
        <v>0</v>
      </c>
      <c r="AY21" s="22" t="s">
        <v>138</v>
      </c>
      <c r="AZ21" s="22" t="s">
        <v>139</v>
      </c>
      <c r="BA21" s="21"/>
    </row>
    <row r="22" customFormat="false" ht="14.25" hidden="false" customHeight="false" outlineLevel="0" collapsed="false">
      <c r="B22" s="22" t="n">
        <v>21</v>
      </c>
      <c r="C22" s="22" t="s">
        <v>285</v>
      </c>
      <c r="D22" s="22" t="s">
        <v>16</v>
      </c>
      <c r="E22" s="22" t="s">
        <v>21</v>
      </c>
      <c r="F22" s="22" t="n">
        <v>50001597</v>
      </c>
      <c r="G22" s="22" t="s">
        <v>120</v>
      </c>
      <c r="H22" s="22" t="s">
        <v>121</v>
      </c>
      <c r="I22" s="22" t="s">
        <v>122</v>
      </c>
      <c r="J22" s="22" t="s">
        <v>285</v>
      </c>
      <c r="K22" s="22" t="s">
        <v>285</v>
      </c>
      <c r="L22" s="22" t="s">
        <v>53</v>
      </c>
      <c r="M22" s="22" t="s">
        <v>124</v>
      </c>
      <c r="N22" s="22" t="s">
        <v>286</v>
      </c>
      <c r="O22" s="22" t="n">
        <v>7580</v>
      </c>
      <c r="P22" s="22" t="s">
        <v>287</v>
      </c>
      <c r="Q22" s="22" t="s">
        <v>165</v>
      </c>
      <c r="R22" s="22" t="s">
        <v>288</v>
      </c>
      <c r="S22" s="22" t="n">
        <v>835207</v>
      </c>
      <c r="T22" s="22" t="n">
        <v>23.038018</v>
      </c>
      <c r="U22" s="22" t="n">
        <v>84.539435</v>
      </c>
      <c r="V22" s="22" t="s">
        <v>129</v>
      </c>
      <c r="W22" s="22" t="n">
        <v>2019</v>
      </c>
      <c r="X22" s="22" t="n">
        <v>43657</v>
      </c>
      <c r="Y22" s="22" t="n">
        <v>1100</v>
      </c>
      <c r="Z22" s="22" t="n">
        <v>1100</v>
      </c>
      <c r="AA22" s="22" t="s">
        <v>23</v>
      </c>
      <c r="AB22" s="22" t="s">
        <v>130</v>
      </c>
      <c r="AC22" s="22" t="s">
        <v>131</v>
      </c>
      <c r="AD22" s="22" t="s">
        <v>132</v>
      </c>
      <c r="AE22" s="22" t="s">
        <v>289</v>
      </c>
      <c r="AF22" s="22" t="s">
        <v>290</v>
      </c>
      <c r="AG22" s="22" t="s">
        <v>291</v>
      </c>
      <c r="AH22" s="22" t="s">
        <v>136</v>
      </c>
      <c r="AI22" s="22" t="s">
        <v>137</v>
      </c>
      <c r="AJ22" s="22" t="n">
        <v>12</v>
      </c>
      <c r="AK22" s="22" t="n">
        <v>1</v>
      </c>
      <c r="AL22" s="22" t="n">
        <v>2</v>
      </c>
      <c r="AM22" s="22" t="n">
        <f aca="false">AL22+AK22+AJ22</f>
        <v>15</v>
      </c>
      <c r="AN22" s="22" t="n">
        <v>13</v>
      </c>
      <c r="AO22" s="22" t="n">
        <v>6</v>
      </c>
      <c r="AP22" s="22" t="n">
        <f aca="false">AN22+AO22</f>
        <v>19</v>
      </c>
      <c r="AQ22" s="22" t="n">
        <v>0</v>
      </c>
      <c r="AR22" s="22" t="n">
        <v>0</v>
      </c>
      <c r="AS22" s="22" t="n">
        <v>1</v>
      </c>
      <c r="AT22" s="22" t="n">
        <v>0</v>
      </c>
      <c r="AU22" s="22" t="n">
        <v>1</v>
      </c>
      <c r="AV22" s="22" t="n">
        <v>0</v>
      </c>
      <c r="AW22" s="22" t="n">
        <v>0</v>
      </c>
      <c r="AX22" s="22" t="n">
        <v>0</v>
      </c>
      <c r="AY22" s="22" t="s">
        <v>138</v>
      </c>
      <c r="AZ22" s="22" t="s">
        <v>139</v>
      </c>
      <c r="BA22" s="21"/>
    </row>
    <row r="23" customFormat="false" ht="14.25" hidden="false" customHeight="false" outlineLevel="0" collapsed="false">
      <c r="B23" s="22" t="n">
        <v>22</v>
      </c>
      <c r="C23" s="22" t="s">
        <v>292</v>
      </c>
      <c r="D23" s="22" t="s">
        <v>16</v>
      </c>
      <c r="E23" s="22" t="s">
        <v>21</v>
      </c>
      <c r="F23" s="22" t="n">
        <v>50003635</v>
      </c>
      <c r="G23" s="22" t="s">
        <v>120</v>
      </c>
      <c r="H23" s="22" t="s">
        <v>121</v>
      </c>
      <c r="I23" s="22" t="s">
        <v>122</v>
      </c>
      <c r="J23" s="22" t="s">
        <v>231</v>
      </c>
      <c r="K23" s="22" t="s">
        <v>231</v>
      </c>
      <c r="L23" s="22" t="s">
        <v>53</v>
      </c>
      <c r="M23" s="22" t="s">
        <v>124</v>
      </c>
      <c r="N23" s="22" t="s">
        <v>293</v>
      </c>
      <c r="O23" s="22" t="n">
        <v>9096</v>
      </c>
      <c r="P23" s="22" t="s">
        <v>294</v>
      </c>
      <c r="Q23" s="22" t="s">
        <v>146</v>
      </c>
      <c r="R23" s="22" t="s">
        <v>295</v>
      </c>
      <c r="S23" s="22" t="n">
        <v>814145</v>
      </c>
      <c r="T23" s="22" t="n">
        <v>24.5965</v>
      </c>
      <c r="U23" s="22" t="n">
        <v>87.082088</v>
      </c>
      <c r="V23" s="22" t="s">
        <v>129</v>
      </c>
      <c r="W23" s="22" t="n">
        <v>2022</v>
      </c>
      <c r="X23" s="22" t="n">
        <v>44680</v>
      </c>
      <c r="Y23" s="22" t="n">
        <v>960</v>
      </c>
      <c r="Z23" s="22" t="n">
        <v>960</v>
      </c>
      <c r="AA23" s="22" t="s">
        <v>23</v>
      </c>
      <c r="AB23" s="22" t="s">
        <v>130</v>
      </c>
      <c r="AC23" s="22" t="s">
        <v>131</v>
      </c>
      <c r="AD23" s="22" t="s">
        <v>132</v>
      </c>
      <c r="AE23" s="22" t="s">
        <v>296</v>
      </c>
      <c r="AF23" s="22" t="s">
        <v>297</v>
      </c>
      <c r="AG23" s="22" t="s">
        <v>298</v>
      </c>
      <c r="AH23" s="22" t="s">
        <v>136</v>
      </c>
      <c r="AI23" s="22" t="s">
        <v>137</v>
      </c>
      <c r="AJ23" s="22" t="n">
        <v>6</v>
      </c>
      <c r="AK23" s="22" t="n">
        <v>1</v>
      </c>
      <c r="AL23" s="22" t="n">
        <v>0</v>
      </c>
      <c r="AM23" s="22" t="n">
        <f aca="false">AL23+AK23+AJ23</f>
        <v>7</v>
      </c>
      <c r="AN23" s="22" t="n">
        <v>5</v>
      </c>
      <c r="AO23" s="22" t="n">
        <v>3</v>
      </c>
      <c r="AP23" s="22" t="n">
        <f aca="false">AN23+AO23</f>
        <v>8</v>
      </c>
      <c r="AQ23" s="22" t="n">
        <v>1</v>
      </c>
      <c r="AR23" s="22" t="n">
        <v>1</v>
      </c>
      <c r="AS23" s="22" t="n">
        <v>0</v>
      </c>
      <c r="AT23" s="22" t="n">
        <v>0</v>
      </c>
      <c r="AU23" s="22" t="n">
        <v>1</v>
      </c>
      <c r="AV23" s="22" t="n">
        <v>0</v>
      </c>
      <c r="AW23" s="22" t="n">
        <v>0</v>
      </c>
      <c r="AX23" s="22" t="n">
        <v>0</v>
      </c>
      <c r="AY23" s="22" t="s">
        <v>138</v>
      </c>
      <c r="AZ23" s="22" t="s">
        <v>139</v>
      </c>
      <c r="BA23" s="21"/>
    </row>
    <row r="24" customFormat="false" ht="14.25" hidden="false" customHeight="false" outlineLevel="0" collapsed="false">
      <c r="B24" s="22" t="n">
        <v>23</v>
      </c>
      <c r="C24" s="22" t="s">
        <v>299</v>
      </c>
      <c r="D24" s="22" t="s">
        <v>16</v>
      </c>
      <c r="E24" s="22" t="s">
        <v>21</v>
      </c>
      <c r="F24" s="22" t="n">
        <v>50000264</v>
      </c>
      <c r="G24" s="22" t="s">
        <v>120</v>
      </c>
      <c r="H24" s="22" t="s">
        <v>207</v>
      </c>
      <c r="I24" s="22" t="s">
        <v>122</v>
      </c>
      <c r="J24" s="22" t="s">
        <v>299</v>
      </c>
      <c r="K24" s="22" t="s">
        <v>299</v>
      </c>
      <c r="L24" s="22" t="s">
        <v>53</v>
      </c>
      <c r="M24" s="22" t="s">
        <v>153</v>
      </c>
      <c r="N24" s="22" t="s">
        <v>300</v>
      </c>
      <c r="O24" s="22" t="n">
        <v>763</v>
      </c>
      <c r="P24" s="22" t="s">
        <v>301</v>
      </c>
      <c r="Q24" s="22" t="s">
        <v>127</v>
      </c>
      <c r="R24" s="22" t="s">
        <v>302</v>
      </c>
      <c r="S24" s="22" t="n">
        <v>825301</v>
      </c>
      <c r="T24" s="22" t="n">
        <v>23.982059</v>
      </c>
      <c r="U24" s="22" t="n">
        <v>85.374236</v>
      </c>
      <c r="V24" s="22" t="s">
        <v>129</v>
      </c>
      <c r="W24" s="22" t="n">
        <v>2015</v>
      </c>
      <c r="X24" s="22" t="n">
        <v>42287</v>
      </c>
      <c r="Y24" s="22" t="n">
        <v>2150</v>
      </c>
      <c r="Z24" s="22" t="n">
        <v>2150</v>
      </c>
      <c r="AA24" s="22" t="s">
        <v>23</v>
      </c>
      <c r="AB24" s="22" t="s">
        <v>130</v>
      </c>
      <c r="AC24" s="22" t="s">
        <v>131</v>
      </c>
      <c r="AD24" s="22" t="s">
        <v>132</v>
      </c>
      <c r="AE24" s="22" t="s">
        <v>303</v>
      </c>
      <c r="AF24" s="22" t="s">
        <v>304</v>
      </c>
      <c r="AG24" s="22" t="s">
        <v>305</v>
      </c>
      <c r="AH24" s="22" t="s">
        <v>136</v>
      </c>
      <c r="AI24" s="22" t="s">
        <v>137</v>
      </c>
      <c r="AJ24" s="22" t="n">
        <v>24</v>
      </c>
      <c r="AK24" s="22" t="n">
        <v>2</v>
      </c>
      <c r="AL24" s="22" t="n">
        <v>0</v>
      </c>
      <c r="AM24" s="22" t="n">
        <f aca="false">AL24+AK24+AJ24</f>
        <v>26</v>
      </c>
      <c r="AN24" s="22" t="n">
        <v>32</v>
      </c>
      <c r="AO24" s="22" t="n">
        <v>9</v>
      </c>
      <c r="AP24" s="22" t="n">
        <f aca="false">AN24+AO24</f>
        <v>41</v>
      </c>
      <c r="AQ24" s="22" t="n">
        <v>1</v>
      </c>
      <c r="AR24" s="22" t="n">
        <v>1</v>
      </c>
      <c r="AS24" s="22" t="n">
        <v>0</v>
      </c>
      <c r="AT24" s="22" t="n">
        <v>0</v>
      </c>
      <c r="AU24" s="22" t="n">
        <v>1</v>
      </c>
      <c r="AV24" s="22" t="n">
        <v>0</v>
      </c>
      <c r="AW24" s="22" t="n">
        <v>0</v>
      </c>
      <c r="AX24" s="22" t="n">
        <v>0</v>
      </c>
      <c r="AY24" s="22" t="s">
        <v>160</v>
      </c>
      <c r="AZ24" s="22" t="s">
        <v>214</v>
      </c>
      <c r="BA24" s="21"/>
    </row>
    <row r="25" customFormat="false" ht="14.25" hidden="false" customHeight="false" outlineLevel="0" collapsed="false">
      <c r="B25" s="22" t="n">
        <v>24</v>
      </c>
      <c r="C25" s="22" t="s">
        <v>306</v>
      </c>
      <c r="D25" s="22" t="s">
        <v>16</v>
      </c>
      <c r="E25" s="22" t="s">
        <v>21</v>
      </c>
      <c r="F25" s="22" t="n">
        <v>50000305</v>
      </c>
      <c r="G25" s="22" t="s">
        <v>120</v>
      </c>
      <c r="H25" s="22" t="s">
        <v>207</v>
      </c>
      <c r="I25" s="22" t="s">
        <v>122</v>
      </c>
      <c r="J25" s="22" t="s">
        <v>257</v>
      </c>
      <c r="K25" s="22" t="s">
        <v>258</v>
      </c>
      <c r="L25" s="22" t="s">
        <v>53</v>
      </c>
      <c r="M25" s="22" t="s">
        <v>153</v>
      </c>
      <c r="N25" s="22" t="s">
        <v>307</v>
      </c>
      <c r="O25" s="22" t="n">
        <v>371</v>
      </c>
      <c r="P25" s="22" t="n">
        <v>515</v>
      </c>
      <c r="Q25" s="22" t="s">
        <v>165</v>
      </c>
      <c r="R25" s="22" t="s">
        <v>308</v>
      </c>
      <c r="S25" s="22" t="n">
        <v>831001</v>
      </c>
      <c r="T25" s="22" t="n">
        <v>22.80945</v>
      </c>
      <c r="U25" s="22" t="n">
        <v>86.202843</v>
      </c>
      <c r="V25" s="22" t="s">
        <v>129</v>
      </c>
      <c r="W25" s="22" t="n">
        <v>2009</v>
      </c>
      <c r="X25" s="22" t="n">
        <v>43879</v>
      </c>
      <c r="Y25" s="22" t="n">
        <v>2700</v>
      </c>
      <c r="Z25" s="22" t="n">
        <v>2700</v>
      </c>
      <c r="AA25" s="22" t="s">
        <v>23</v>
      </c>
      <c r="AB25" s="22" t="s">
        <v>130</v>
      </c>
      <c r="AC25" s="22" t="s">
        <v>131</v>
      </c>
      <c r="AD25" s="22" t="s">
        <v>132</v>
      </c>
      <c r="AE25" s="22" t="s">
        <v>309</v>
      </c>
      <c r="AF25" s="22" t="s">
        <v>310</v>
      </c>
      <c r="AG25" s="22" t="s">
        <v>311</v>
      </c>
      <c r="AH25" s="22" t="s">
        <v>230</v>
      </c>
      <c r="AI25" s="22" t="s">
        <v>137</v>
      </c>
      <c r="AJ25" s="22" t="n">
        <v>37</v>
      </c>
      <c r="AK25" s="22" t="n">
        <v>2</v>
      </c>
      <c r="AL25" s="22" t="n">
        <v>2</v>
      </c>
      <c r="AM25" s="22" t="n">
        <f aca="false">AL25+AK25+AJ25</f>
        <v>41</v>
      </c>
      <c r="AN25" s="22" t="n">
        <v>60</v>
      </c>
      <c r="AO25" s="22" t="n">
        <v>34</v>
      </c>
      <c r="AP25" s="22" t="n">
        <f aca="false">AN25+AO25</f>
        <v>94</v>
      </c>
      <c r="AQ25" s="22" t="n">
        <v>1</v>
      </c>
      <c r="AR25" s="22" t="n">
        <v>1</v>
      </c>
      <c r="AS25" s="22" t="n">
        <v>0</v>
      </c>
      <c r="AT25" s="22" t="n">
        <v>1</v>
      </c>
      <c r="AU25" s="22" t="n">
        <v>2</v>
      </c>
      <c r="AV25" s="22" t="n">
        <v>0</v>
      </c>
      <c r="AW25" s="22" t="n">
        <v>0</v>
      </c>
      <c r="AX25" s="22" t="n">
        <v>0</v>
      </c>
      <c r="AY25" s="22" t="s">
        <v>160</v>
      </c>
      <c r="AZ25" s="22" t="s">
        <v>139</v>
      </c>
      <c r="BA25" s="21"/>
    </row>
    <row r="26" customFormat="false" ht="14.25" hidden="false" customHeight="false" outlineLevel="0" collapsed="false">
      <c r="B26" s="22" t="n">
        <v>25</v>
      </c>
      <c r="C26" s="22" t="s">
        <v>312</v>
      </c>
      <c r="D26" s="22" t="s">
        <v>16</v>
      </c>
      <c r="E26" s="22" t="s">
        <v>21</v>
      </c>
      <c r="F26" s="22" t="n">
        <v>50000305</v>
      </c>
      <c r="G26" s="22" t="s">
        <v>162</v>
      </c>
      <c r="H26" s="22" t="s">
        <v>163</v>
      </c>
      <c r="I26" s="22" t="s">
        <v>122</v>
      </c>
      <c r="J26" s="22" t="s">
        <v>257</v>
      </c>
      <c r="K26" s="22" t="s">
        <v>258</v>
      </c>
      <c r="L26" s="22" t="s">
        <v>53</v>
      </c>
      <c r="M26" s="22" t="s">
        <v>153</v>
      </c>
      <c r="N26" s="22" t="s">
        <v>307</v>
      </c>
      <c r="O26" s="22" t="n">
        <v>371</v>
      </c>
      <c r="P26" s="22" t="s">
        <v>313</v>
      </c>
      <c r="Q26" s="22" t="s">
        <v>225</v>
      </c>
      <c r="R26" s="22" t="s">
        <v>308</v>
      </c>
      <c r="S26" s="22" t="n">
        <v>831001</v>
      </c>
      <c r="T26" s="22" t="n">
        <v>22.80945</v>
      </c>
      <c r="U26" s="22" t="n">
        <v>86.202843</v>
      </c>
      <c r="V26" s="22" t="s">
        <v>129</v>
      </c>
      <c r="W26" s="22" t="n">
        <v>2009</v>
      </c>
      <c r="X26" s="22" t="n">
        <v>43879</v>
      </c>
      <c r="Y26" s="22" t="n">
        <v>2700</v>
      </c>
      <c r="Z26" s="22" t="n">
        <v>2700</v>
      </c>
      <c r="AA26" s="22" t="s">
        <v>23</v>
      </c>
      <c r="AB26" s="22" t="s">
        <v>130</v>
      </c>
      <c r="AC26" s="22" t="s">
        <v>131</v>
      </c>
      <c r="AD26" s="22" t="s">
        <v>132</v>
      </c>
      <c r="AE26" s="22" t="s">
        <v>309</v>
      </c>
      <c r="AF26" s="22" t="s">
        <v>310</v>
      </c>
      <c r="AG26" s="22" t="s">
        <v>311</v>
      </c>
      <c r="AH26" s="22" t="s">
        <v>230</v>
      </c>
      <c r="AI26" s="22" t="s">
        <v>314</v>
      </c>
      <c r="AJ26" s="22" t="n">
        <v>54</v>
      </c>
      <c r="AK26" s="22" t="n">
        <v>0</v>
      </c>
      <c r="AL26" s="22" t="n">
        <v>0</v>
      </c>
      <c r="AM26" s="22" t="n">
        <f aca="false">AL26+AK26+AJ26</f>
        <v>54</v>
      </c>
      <c r="AN26" s="22" t="n">
        <v>68</v>
      </c>
      <c r="AO26" s="22" t="n">
        <v>35</v>
      </c>
      <c r="AP26" s="22" t="n">
        <f aca="false">AN26+AO26</f>
        <v>103</v>
      </c>
      <c r="AQ26" s="22" t="n">
        <v>1</v>
      </c>
      <c r="AR26" s="22" t="n">
        <v>1</v>
      </c>
      <c r="AS26" s="22" t="n">
        <v>0</v>
      </c>
      <c r="AT26" s="22" t="n">
        <v>0</v>
      </c>
      <c r="AU26" s="22" t="n">
        <v>1</v>
      </c>
      <c r="AV26" s="22" t="n">
        <v>1</v>
      </c>
      <c r="AW26" s="22" t="n">
        <v>0</v>
      </c>
      <c r="AX26" s="22" t="n">
        <v>0</v>
      </c>
      <c r="AY26" s="22" t="s">
        <v>160</v>
      </c>
      <c r="AZ26" s="22" t="s">
        <v>139</v>
      </c>
      <c r="BA26" s="21"/>
    </row>
    <row r="27" customFormat="false" ht="14.25" hidden="false" customHeight="false" outlineLevel="0" collapsed="false">
      <c r="B27" s="22" t="n">
        <v>26</v>
      </c>
      <c r="C27" s="22" t="s">
        <v>315</v>
      </c>
      <c r="D27" s="22" t="s">
        <v>16</v>
      </c>
      <c r="E27" s="22" t="s">
        <v>21</v>
      </c>
      <c r="F27" s="22" t="n">
        <v>50001853</v>
      </c>
      <c r="G27" s="22" t="s">
        <v>120</v>
      </c>
      <c r="H27" s="22" t="s">
        <v>141</v>
      </c>
      <c r="I27" s="22" t="s">
        <v>122</v>
      </c>
      <c r="J27" s="22" t="s">
        <v>123</v>
      </c>
      <c r="K27" s="22" t="s">
        <v>123</v>
      </c>
      <c r="L27" s="22" t="s">
        <v>53</v>
      </c>
      <c r="M27" s="22" t="s">
        <v>124</v>
      </c>
      <c r="N27" s="22" t="s">
        <v>316</v>
      </c>
      <c r="O27" s="22" t="n">
        <v>8251</v>
      </c>
      <c r="P27" s="22" t="s">
        <v>317</v>
      </c>
      <c r="Q27" s="22" t="s">
        <v>146</v>
      </c>
      <c r="R27" s="22" t="s">
        <v>318</v>
      </c>
      <c r="S27" s="22" t="n">
        <v>815318</v>
      </c>
      <c r="T27" s="22" t="n">
        <v>24.363988</v>
      </c>
      <c r="U27" s="22" t="n">
        <v>86.15006</v>
      </c>
      <c r="V27" s="22" t="s">
        <v>129</v>
      </c>
      <c r="W27" s="22" t="n">
        <v>2020</v>
      </c>
      <c r="X27" s="22" t="n">
        <v>43987</v>
      </c>
      <c r="Y27" s="22" t="n">
        <v>786</v>
      </c>
      <c r="Z27" s="22" t="n">
        <v>786</v>
      </c>
      <c r="AA27" s="22" t="s">
        <v>23</v>
      </c>
      <c r="AB27" s="22" t="s">
        <v>130</v>
      </c>
      <c r="AC27" s="22" t="s">
        <v>131</v>
      </c>
      <c r="AD27" s="22" t="s">
        <v>132</v>
      </c>
      <c r="AE27" s="22" t="s">
        <v>319</v>
      </c>
      <c r="AF27" s="22" t="s">
        <v>320</v>
      </c>
      <c r="AG27" s="22" t="s">
        <v>321</v>
      </c>
      <c r="AH27" s="22" t="s">
        <v>136</v>
      </c>
      <c r="AI27" s="22" t="s">
        <v>137</v>
      </c>
      <c r="AJ27" s="22" t="n">
        <v>14</v>
      </c>
      <c r="AK27" s="22" t="n">
        <v>1</v>
      </c>
      <c r="AL27" s="22" t="n">
        <v>0</v>
      </c>
      <c r="AM27" s="22" t="n">
        <f aca="false">AL27+AK27+AJ27</f>
        <v>15</v>
      </c>
      <c r="AN27" s="22" t="n">
        <v>12</v>
      </c>
      <c r="AO27" s="22" t="n">
        <v>6</v>
      </c>
      <c r="AP27" s="22" t="n">
        <f aca="false">AN27+AO27</f>
        <v>18</v>
      </c>
      <c r="AQ27" s="22" t="n">
        <v>1</v>
      </c>
      <c r="AR27" s="22" t="n">
        <v>1</v>
      </c>
      <c r="AS27" s="22" t="n">
        <v>0</v>
      </c>
      <c r="AT27" s="22" t="n">
        <v>0</v>
      </c>
      <c r="AU27" s="22" t="n">
        <v>1</v>
      </c>
      <c r="AV27" s="22" t="n">
        <v>0</v>
      </c>
      <c r="AW27" s="22" t="n">
        <v>0</v>
      </c>
      <c r="AX27" s="22" t="n">
        <v>0</v>
      </c>
      <c r="AY27" s="22" t="s">
        <v>160</v>
      </c>
      <c r="AZ27" s="22" t="s">
        <v>214</v>
      </c>
      <c r="BA27" s="21"/>
    </row>
    <row r="28" customFormat="false" ht="14.25" hidden="false" customHeight="false" outlineLevel="0" collapsed="false">
      <c r="B28" s="22" t="n">
        <v>27</v>
      </c>
      <c r="C28" s="22" t="s">
        <v>322</v>
      </c>
      <c r="D28" s="22" t="s">
        <v>16</v>
      </c>
      <c r="E28" s="22" t="s">
        <v>21</v>
      </c>
      <c r="F28" s="22" t="n">
        <v>50003553</v>
      </c>
      <c r="G28" s="22" t="s">
        <v>120</v>
      </c>
      <c r="H28" s="22" t="s">
        <v>141</v>
      </c>
      <c r="I28" s="22" t="s">
        <v>122</v>
      </c>
      <c r="J28" s="22" t="s">
        <v>323</v>
      </c>
      <c r="K28" s="22" t="s">
        <v>323</v>
      </c>
      <c r="L28" s="22" t="s">
        <v>53</v>
      </c>
      <c r="M28" s="22" t="s">
        <v>124</v>
      </c>
      <c r="N28" s="22" t="s">
        <v>324</v>
      </c>
      <c r="O28" s="22" t="n">
        <v>10830</v>
      </c>
      <c r="P28" s="22" t="s">
        <v>325</v>
      </c>
      <c r="Q28" s="22" t="s">
        <v>127</v>
      </c>
      <c r="R28" s="22" t="s">
        <v>326</v>
      </c>
      <c r="S28" s="22" t="n">
        <v>815352</v>
      </c>
      <c r="T28" s="22" t="n">
        <v>24.083213</v>
      </c>
      <c r="U28" s="22" t="n">
        <v>86.708152</v>
      </c>
      <c r="V28" s="22" t="s">
        <v>129</v>
      </c>
      <c r="W28" s="22" t="n">
        <v>2022</v>
      </c>
      <c r="X28" s="22" t="n">
        <v>44642</v>
      </c>
      <c r="Y28" s="22" t="n">
        <v>1800</v>
      </c>
      <c r="Z28" s="22" t="n">
        <v>1800</v>
      </c>
      <c r="AA28" s="22" t="s">
        <v>23</v>
      </c>
      <c r="AB28" s="22" t="s">
        <v>130</v>
      </c>
      <c r="AC28" s="22" t="s">
        <v>131</v>
      </c>
      <c r="AD28" s="22" t="s">
        <v>132</v>
      </c>
      <c r="AE28" s="22" t="s">
        <v>327</v>
      </c>
      <c r="AF28" s="22" t="s">
        <v>328</v>
      </c>
      <c r="AG28" s="22" t="s">
        <v>329</v>
      </c>
      <c r="AH28" s="22" t="s">
        <v>136</v>
      </c>
      <c r="AI28" s="22" t="s">
        <v>137</v>
      </c>
      <c r="AJ28" s="22" t="n">
        <v>6</v>
      </c>
      <c r="AK28" s="22" t="n">
        <v>1</v>
      </c>
      <c r="AL28" s="22" t="n">
        <v>0</v>
      </c>
      <c r="AM28" s="22" t="n">
        <f aca="false">AL28+AK28+AJ28</f>
        <v>7</v>
      </c>
      <c r="AN28" s="22" t="n">
        <v>8</v>
      </c>
      <c r="AO28" s="22" t="n">
        <v>6</v>
      </c>
      <c r="AP28" s="22" t="n">
        <f aca="false">AN28+AO28</f>
        <v>14</v>
      </c>
      <c r="AQ28" s="22" t="n">
        <v>1</v>
      </c>
      <c r="AR28" s="22" t="n">
        <v>1</v>
      </c>
      <c r="AS28" s="22" t="n">
        <v>0</v>
      </c>
      <c r="AT28" s="22" t="n">
        <v>0</v>
      </c>
      <c r="AU28" s="22" t="n">
        <v>1</v>
      </c>
      <c r="AV28" s="22" t="n">
        <v>0</v>
      </c>
      <c r="AW28" s="22" t="n">
        <v>0</v>
      </c>
      <c r="AX28" s="22" t="n">
        <v>0</v>
      </c>
      <c r="AY28" s="22" t="s">
        <v>138</v>
      </c>
      <c r="AZ28" s="22" t="s">
        <v>139</v>
      </c>
      <c r="BA28" s="21"/>
    </row>
    <row r="29" customFormat="false" ht="14.25" hidden="false" customHeight="false" outlineLevel="0" collapsed="false">
      <c r="B29" s="22" t="n">
        <v>28</v>
      </c>
      <c r="C29" s="22" t="s">
        <v>330</v>
      </c>
      <c r="D29" s="22" t="s">
        <v>16</v>
      </c>
      <c r="E29" s="22" t="s">
        <v>21</v>
      </c>
      <c r="F29" s="22" t="n">
        <v>50005123</v>
      </c>
      <c r="G29" s="22" t="s">
        <v>120</v>
      </c>
      <c r="H29" s="22" t="s">
        <v>331</v>
      </c>
      <c r="I29" s="22" t="s">
        <v>122</v>
      </c>
      <c r="J29" s="22" t="s">
        <v>222</v>
      </c>
      <c r="K29" s="22" t="s">
        <v>222</v>
      </c>
      <c r="L29" s="22" t="s">
        <v>53</v>
      </c>
      <c r="M29" s="22" t="s">
        <v>153</v>
      </c>
      <c r="N29" s="22" t="s">
        <v>332</v>
      </c>
      <c r="O29" s="22" t="n">
        <v>12098</v>
      </c>
      <c r="P29" s="22" t="s">
        <v>333</v>
      </c>
      <c r="Q29" s="22" t="s">
        <v>127</v>
      </c>
      <c r="R29" s="22" t="s">
        <v>334</v>
      </c>
      <c r="S29" s="22" t="n">
        <v>828114</v>
      </c>
      <c r="T29" s="22" t="n">
        <v>23.808368</v>
      </c>
      <c r="U29" s="22" t="n">
        <v>86.29701</v>
      </c>
      <c r="V29" s="22" t="s">
        <v>129</v>
      </c>
      <c r="W29" s="22" t="n">
        <v>2023</v>
      </c>
      <c r="X29" s="22" t="n">
        <v>45286</v>
      </c>
      <c r="Y29" s="22" t="n">
        <v>1100</v>
      </c>
      <c r="Z29" s="22" t="n">
        <v>1100</v>
      </c>
      <c r="AA29" s="22" t="s">
        <v>23</v>
      </c>
      <c r="AB29" s="22" t="s">
        <v>130</v>
      </c>
      <c r="AC29" s="22" t="s">
        <v>131</v>
      </c>
      <c r="AD29" s="22" t="s">
        <v>132</v>
      </c>
      <c r="AE29" s="22" t="s">
        <v>335</v>
      </c>
      <c r="AF29" s="22" t="s">
        <v>336</v>
      </c>
      <c r="AG29" s="22" t="s">
        <v>337</v>
      </c>
      <c r="AH29" s="22" t="s">
        <v>136</v>
      </c>
      <c r="AI29" s="22" t="s">
        <v>137</v>
      </c>
      <c r="AJ29" s="22" t="n">
        <v>4</v>
      </c>
      <c r="AK29" s="22" t="n">
        <v>1</v>
      </c>
      <c r="AL29" s="22" t="n">
        <v>0</v>
      </c>
      <c r="AM29" s="22" t="n">
        <f aca="false">AL29+AK29+AJ29</f>
        <v>5</v>
      </c>
      <c r="AN29" s="22" t="n">
        <v>4</v>
      </c>
      <c r="AO29" s="22" t="n">
        <v>3</v>
      </c>
      <c r="AP29" s="22" t="n">
        <f aca="false">AN29+AO29</f>
        <v>7</v>
      </c>
      <c r="AQ29" s="22" t="n">
        <v>0</v>
      </c>
      <c r="AR29" s="22" t="n">
        <v>0</v>
      </c>
      <c r="AS29" s="22" t="n">
        <v>1</v>
      </c>
      <c r="AT29" s="22" t="n">
        <v>0</v>
      </c>
      <c r="AU29" s="22" t="n">
        <v>1</v>
      </c>
      <c r="AV29" s="22" t="n">
        <v>0</v>
      </c>
      <c r="AW29" s="22" t="n">
        <v>0</v>
      </c>
      <c r="AX29" s="22" t="n">
        <v>0</v>
      </c>
      <c r="AY29" s="22" t="s">
        <v>138</v>
      </c>
      <c r="AZ29" s="22" t="s">
        <v>139</v>
      </c>
      <c r="BA29" s="21"/>
    </row>
    <row r="30" customFormat="false" ht="14.25" hidden="false" customHeight="false" outlineLevel="0" collapsed="false">
      <c r="B30" s="22" t="n">
        <v>29</v>
      </c>
      <c r="C30" s="22" t="s">
        <v>338</v>
      </c>
      <c r="D30" s="22" t="s">
        <v>16</v>
      </c>
      <c r="E30" s="22" t="s">
        <v>21</v>
      </c>
      <c r="F30" s="22" t="n">
        <v>50001948</v>
      </c>
      <c r="G30" s="22" t="s">
        <v>120</v>
      </c>
      <c r="H30" s="22" t="s">
        <v>141</v>
      </c>
      <c r="I30" s="22" t="s">
        <v>122</v>
      </c>
      <c r="J30" s="22" t="s">
        <v>338</v>
      </c>
      <c r="K30" s="22" t="s">
        <v>168</v>
      </c>
      <c r="L30" s="22" t="s">
        <v>53</v>
      </c>
      <c r="M30" s="22" t="s">
        <v>124</v>
      </c>
      <c r="N30" s="22" t="s">
        <v>339</v>
      </c>
      <c r="O30" s="22" t="n">
        <v>8554</v>
      </c>
      <c r="P30" s="22" t="s">
        <v>340</v>
      </c>
      <c r="Q30" s="22" t="s">
        <v>165</v>
      </c>
      <c r="R30" s="22" t="s">
        <v>341</v>
      </c>
      <c r="S30" s="22" t="n">
        <v>829205</v>
      </c>
      <c r="T30" s="22" t="n">
        <v>23.65184</v>
      </c>
      <c r="U30" s="22" t="n">
        <v>85.007138</v>
      </c>
      <c r="V30" s="22" t="s">
        <v>129</v>
      </c>
      <c r="W30" s="22" t="n">
        <v>2020</v>
      </c>
      <c r="X30" s="22" t="n">
        <v>43845</v>
      </c>
      <c r="Y30" s="22" t="n">
        <v>1450</v>
      </c>
      <c r="Z30" s="22" t="n">
        <v>1450</v>
      </c>
      <c r="AA30" s="22" t="s">
        <v>23</v>
      </c>
      <c r="AB30" s="22" t="s">
        <v>130</v>
      </c>
      <c r="AC30" s="22" t="s">
        <v>131</v>
      </c>
      <c r="AD30" s="22" t="s">
        <v>132</v>
      </c>
      <c r="AE30" s="22" t="s">
        <v>342</v>
      </c>
      <c r="AF30" s="22" t="s">
        <v>343</v>
      </c>
      <c r="AG30" s="22" t="s">
        <v>344</v>
      </c>
      <c r="AH30" s="22" t="s">
        <v>136</v>
      </c>
      <c r="AI30" s="22" t="s">
        <v>137</v>
      </c>
      <c r="AJ30" s="22" t="n">
        <v>10</v>
      </c>
      <c r="AK30" s="22" t="n">
        <v>1</v>
      </c>
      <c r="AL30" s="22" t="n">
        <v>0</v>
      </c>
      <c r="AM30" s="22" t="n">
        <f aca="false">AL30+AK30+AJ30</f>
        <v>11</v>
      </c>
      <c r="AN30" s="22" t="n">
        <v>6</v>
      </c>
      <c r="AO30" s="22" t="n">
        <v>3</v>
      </c>
      <c r="AP30" s="22" t="n">
        <f aca="false">AN30+AO30</f>
        <v>9</v>
      </c>
      <c r="AQ30" s="22" t="n">
        <v>1</v>
      </c>
      <c r="AR30" s="22" t="n">
        <v>1</v>
      </c>
      <c r="AS30" s="22" t="n">
        <v>0</v>
      </c>
      <c r="AT30" s="22" t="n">
        <v>0</v>
      </c>
      <c r="AU30" s="22" t="n">
        <v>1</v>
      </c>
      <c r="AV30" s="22" t="n">
        <v>0</v>
      </c>
      <c r="AW30" s="22" t="n">
        <v>0</v>
      </c>
      <c r="AX30" s="22" t="n">
        <v>0</v>
      </c>
      <c r="AY30" s="22" t="s">
        <v>138</v>
      </c>
      <c r="AZ30" s="22" t="s">
        <v>139</v>
      </c>
      <c r="BA30" s="21"/>
    </row>
    <row r="31" customFormat="false" ht="14.25" hidden="false" customHeight="false" outlineLevel="0" collapsed="false">
      <c r="B31" s="22" t="n">
        <v>30</v>
      </c>
      <c r="C31" s="22" t="s">
        <v>345</v>
      </c>
      <c r="D31" s="22" t="s">
        <v>16</v>
      </c>
      <c r="E31" s="22" t="s">
        <v>21</v>
      </c>
      <c r="F31" s="22" t="n">
        <v>50001947</v>
      </c>
      <c r="G31" s="22" t="s">
        <v>120</v>
      </c>
      <c r="H31" s="22" t="s">
        <v>141</v>
      </c>
      <c r="I31" s="22" t="s">
        <v>122</v>
      </c>
      <c r="J31" s="22" t="s">
        <v>345</v>
      </c>
      <c r="K31" s="22" t="s">
        <v>345</v>
      </c>
      <c r="L31" s="22" t="s">
        <v>53</v>
      </c>
      <c r="M31" s="22" t="s">
        <v>124</v>
      </c>
      <c r="N31" s="22" t="s">
        <v>346</v>
      </c>
      <c r="O31" s="22" t="n">
        <v>8552</v>
      </c>
      <c r="P31" s="22" t="s">
        <v>347</v>
      </c>
      <c r="Q31" s="22" t="s">
        <v>127</v>
      </c>
      <c r="R31" s="22" t="s">
        <v>348</v>
      </c>
      <c r="S31" s="22" t="n">
        <v>835210</v>
      </c>
      <c r="T31" s="22" t="n">
        <v>23.074799</v>
      </c>
      <c r="U31" s="22" t="n">
        <v>85.278695</v>
      </c>
      <c r="V31" s="22" t="s">
        <v>129</v>
      </c>
      <c r="W31" s="22" t="n">
        <v>2020</v>
      </c>
      <c r="X31" s="22" t="n">
        <v>44180</v>
      </c>
      <c r="Y31" s="22" t="n">
        <v>466</v>
      </c>
      <c r="Z31" s="22" t="n">
        <v>466</v>
      </c>
      <c r="AA31" s="22" t="s">
        <v>23</v>
      </c>
      <c r="AB31" s="22" t="s">
        <v>130</v>
      </c>
      <c r="AC31" s="22" t="s">
        <v>131</v>
      </c>
      <c r="AD31" s="22" t="s">
        <v>132</v>
      </c>
      <c r="AE31" s="22" t="s">
        <v>349</v>
      </c>
      <c r="AF31" s="22" t="s">
        <v>350</v>
      </c>
      <c r="AG31" s="22" t="s">
        <v>351</v>
      </c>
      <c r="AH31" s="22" t="s">
        <v>136</v>
      </c>
      <c r="AI31" s="22" t="s">
        <v>137</v>
      </c>
      <c r="AJ31" s="22" t="n">
        <v>6</v>
      </c>
      <c r="AK31" s="22" t="n">
        <v>1</v>
      </c>
      <c r="AL31" s="22" t="n">
        <v>0</v>
      </c>
      <c r="AM31" s="22" t="n">
        <f aca="false">AL31+AK31+AJ31</f>
        <v>7</v>
      </c>
      <c r="AN31" s="22" t="n">
        <v>7</v>
      </c>
      <c r="AO31" s="22" t="n">
        <v>3</v>
      </c>
      <c r="AP31" s="22" t="n">
        <f aca="false">AN31+AO31</f>
        <v>10</v>
      </c>
      <c r="AQ31" s="22" t="n">
        <v>0</v>
      </c>
      <c r="AR31" s="22" t="n">
        <v>0</v>
      </c>
      <c r="AS31" s="22" t="n">
        <v>1</v>
      </c>
      <c r="AT31" s="22" t="n">
        <v>0</v>
      </c>
      <c r="AU31" s="22" t="n">
        <v>1</v>
      </c>
      <c r="AV31" s="22" t="n">
        <v>0</v>
      </c>
      <c r="AW31" s="22" t="n">
        <v>0</v>
      </c>
      <c r="AX31" s="22" t="n">
        <v>0</v>
      </c>
      <c r="AY31" s="22" t="s">
        <v>138</v>
      </c>
      <c r="AZ31" s="22" t="s">
        <v>139</v>
      </c>
      <c r="BA31" s="21"/>
    </row>
    <row r="32" customFormat="false" ht="14.25" hidden="false" customHeight="false" outlineLevel="0" collapsed="false">
      <c r="B32" s="22" t="n">
        <v>31</v>
      </c>
      <c r="C32" s="22" t="s">
        <v>352</v>
      </c>
      <c r="D32" s="22" t="s">
        <v>16</v>
      </c>
      <c r="E32" s="22" t="s">
        <v>21</v>
      </c>
      <c r="F32" s="22" t="n">
        <v>50000882</v>
      </c>
      <c r="G32" s="22" t="s">
        <v>120</v>
      </c>
      <c r="H32" s="22" t="s">
        <v>152</v>
      </c>
      <c r="I32" s="22" t="s">
        <v>122</v>
      </c>
      <c r="J32" s="22" t="s">
        <v>352</v>
      </c>
      <c r="K32" s="22" t="s">
        <v>353</v>
      </c>
      <c r="L32" s="22" t="s">
        <v>53</v>
      </c>
      <c r="M32" s="22" t="s">
        <v>153</v>
      </c>
      <c r="N32" s="22" t="s">
        <v>354</v>
      </c>
      <c r="O32" s="22" t="n">
        <v>2818</v>
      </c>
      <c r="P32" s="22" t="s">
        <v>355</v>
      </c>
      <c r="Q32" s="22" t="s">
        <v>146</v>
      </c>
      <c r="R32" s="22" t="s">
        <v>356</v>
      </c>
      <c r="S32" s="22" t="n">
        <v>825409</v>
      </c>
      <c r="T32" s="22" t="n">
        <v>24.435747</v>
      </c>
      <c r="U32" s="22" t="n">
        <v>85.520239</v>
      </c>
      <c r="V32" s="22" t="s">
        <v>129</v>
      </c>
      <c r="W32" s="22" t="n">
        <v>2017</v>
      </c>
      <c r="X32" s="22" t="n">
        <v>42842</v>
      </c>
      <c r="Y32" s="22" t="n">
        <v>750</v>
      </c>
      <c r="Z32" s="22" t="n">
        <v>750</v>
      </c>
      <c r="AA32" s="22" t="s">
        <v>23</v>
      </c>
      <c r="AB32" s="22" t="s">
        <v>130</v>
      </c>
      <c r="AC32" s="22" t="s">
        <v>131</v>
      </c>
      <c r="AD32" s="22" t="s">
        <v>132</v>
      </c>
      <c r="AE32" s="22" t="s">
        <v>357</v>
      </c>
      <c r="AF32" s="22" t="s">
        <v>358</v>
      </c>
      <c r="AG32" s="22" t="s">
        <v>359</v>
      </c>
      <c r="AH32" s="22" t="s">
        <v>136</v>
      </c>
      <c r="AI32" s="22" t="s">
        <v>137</v>
      </c>
      <c r="AJ32" s="22" t="n">
        <v>12</v>
      </c>
      <c r="AK32" s="22" t="n">
        <v>1</v>
      </c>
      <c r="AL32" s="22" t="n">
        <v>2</v>
      </c>
      <c r="AM32" s="22" t="n">
        <f aca="false">AL32+AK32+AJ32</f>
        <v>15</v>
      </c>
      <c r="AN32" s="22" t="n">
        <v>16</v>
      </c>
      <c r="AO32" s="22" t="n">
        <v>6</v>
      </c>
      <c r="AP32" s="22" t="n">
        <f aca="false">AN32+AO32</f>
        <v>22</v>
      </c>
      <c r="AQ32" s="22" t="n">
        <v>0</v>
      </c>
      <c r="AR32" s="22" t="n">
        <v>0</v>
      </c>
      <c r="AS32" s="22" t="n">
        <v>1</v>
      </c>
      <c r="AT32" s="22" t="n">
        <v>0</v>
      </c>
      <c r="AU32" s="22" t="n">
        <v>1</v>
      </c>
      <c r="AV32" s="22" t="n">
        <v>0</v>
      </c>
      <c r="AW32" s="22" t="n">
        <v>0</v>
      </c>
      <c r="AX32" s="22" t="n">
        <v>0</v>
      </c>
      <c r="AY32" s="22" t="s">
        <v>160</v>
      </c>
      <c r="AZ32" s="22" t="s">
        <v>214</v>
      </c>
      <c r="BA32" s="21"/>
    </row>
    <row r="33" customFormat="false" ht="14.25" hidden="false" customHeight="false" outlineLevel="0" collapsed="false">
      <c r="B33" s="22" t="n">
        <v>32</v>
      </c>
      <c r="C33" s="22" t="s">
        <v>360</v>
      </c>
      <c r="D33" s="22" t="s">
        <v>16</v>
      </c>
      <c r="E33" s="22" t="s">
        <v>21</v>
      </c>
      <c r="F33" s="22" t="n">
        <v>50001598</v>
      </c>
      <c r="G33" s="22" t="s">
        <v>120</v>
      </c>
      <c r="H33" s="22" t="s">
        <v>121</v>
      </c>
      <c r="I33" s="22" t="s">
        <v>122</v>
      </c>
      <c r="J33" s="22" t="s">
        <v>206</v>
      </c>
      <c r="K33" s="22" t="s">
        <v>206</v>
      </c>
      <c r="L33" s="22" t="s">
        <v>53</v>
      </c>
      <c r="M33" s="22" t="s">
        <v>124</v>
      </c>
      <c r="N33" s="22" t="s">
        <v>361</v>
      </c>
      <c r="O33" s="22" t="n">
        <v>7581</v>
      </c>
      <c r="P33" s="22" t="s">
        <v>362</v>
      </c>
      <c r="Q33" s="22" t="s">
        <v>127</v>
      </c>
      <c r="R33" s="22" t="s">
        <v>363</v>
      </c>
      <c r="S33" s="22" t="n">
        <v>815353</v>
      </c>
      <c r="T33" s="22" t="n">
        <v>24.266226</v>
      </c>
      <c r="U33" s="22" t="n">
        <v>86.64273</v>
      </c>
      <c r="V33" s="22" t="s">
        <v>129</v>
      </c>
      <c r="W33" s="22" t="n">
        <v>2019</v>
      </c>
      <c r="X33" s="22" t="n">
        <v>43656</v>
      </c>
      <c r="Y33" s="22" t="n">
        <v>1000</v>
      </c>
      <c r="Z33" s="22" t="n">
        <v>1000</v>
      </c>
      <c r="AA33" s="22" t="s">
        <v>23</v>
      </c>
      <c r="AB33" s="22" t="s">
        <v>130</v>
      </c>
      <c r="AC33" s="22" t="s">
        <v>131</v>
      </c>
      <c r="AD33" s="22" t="s">
        <v>132</v>
      </c>
      <c r="AE33" s="22" t="s">
        <v>364</v>
      </c>
      <c r="AF33" s="22" t="s">
        <v>365</v>
      </c>
      <c r="AG33" s="22" t="s">
        <v>366</v>
      </c>
      <c r="AH33" s="22" t="s">
        <v>136</v>
      </c>
      <c r="AI33" s="22" t="s">
        <v>137</v>
      </c>
      <c r="AJ33" s="22" t="n">
        <v>12</v>
      </c>
      <c r="AK33" s="22" t="n">
        <v>1</v>
      </c>
      <c r="AL33" s="22" t="n">
        <v>2</v>
      </c>
      <c r="AM33" s="22" t="n">
        <f aca="false">AL33+AK33+AJ33</f>
        <v>15</v>
      </c>
      <c r="AN33" s="22" t="n">
        <v>12</v>
      </c>
      <c r="AO33" s="22" t="n">
        <v>6</v>
      </c>
      <c r="AP33" s="22" t="n">
        <f aca="false">AN33+AO33</f>
        <v>18</v>
      </c>
      <c r="AQ33" s="22" t="n">
        <v>0</v>
      </c>
      <c r="AR33" s="22" t="n">
        <v>0</v>
      </c>
      <c r="AS33" s="22" t="n">
        <v>1</v>
      </c>
      <c r="AT33" s="22" t="n">
        <v>0</v>
      </c>
      <c r="AU33" s="22" t="n">
        <v>1</v>
      </c>
      <c r="AV33" s="22" t="n">
        <v>0</v>
      </c>
      <c r="AW33" s="22" t="n">
        <v>0</v>
      </c>
      <c r="AX33" s="22" t="n">
        <v>0</v>
      </c>
      <c r="AY33" s="22" t="s">
        <v>138</v>
      </c>
      <c r="AZ33" s="22" t="s">
        <v>139</v>
      </c>
      <c r="BA33" s="21"/>
    </row>
    <row r="34" customFormat="false" ht="14.25" hidden="false" customHeight="false" outlineLevel="0" collapsed="false">
      <c r="B34" s="22" t="n">
        <v>33</v>
      </c>
      <c r="C34" s="22" t="s">
        <v>367</v>
      </c>
      <c r="D34" s="22" t="s">
        <v>16</v>
      </c>
      <c r="E34" s="22" t="s">
        <v>21</v>
      </c>
      <c r="F34" s="22" t="n">
        <v>50005331</v>
      </c>
      <c r="G34" s="22" t="s">
        <v>120</v>
      </c>
      <c r="H34" s="22" t="s">
        <v>141</v>
      </c>
      <c r="I34" s="22" t="s">
        <v>122</v>
      </c>
      <c r="J34" s="22" t="s">
        <v>368</v>
      </c>
      <c r="K34" s="22" t="s">
        <v>368</v>
      </c>
      <c r="L34" s="22" t="s">
        <v>53</v>
      </c>
      <c r="M34" s="22" t="s">
        <v>124</v>
      </c>
      <c r="N34" s="22" t="s">
        <v>369</v>
      </c>
      <c r="O34" s="22" t="n">
        <v>12336</v>
      </c>
      <c r="P34" s="22" t="s">
        <v>370</v>
      </c>
      <c r="Q34" s="22" t="s">
        <v>146</v>
      </c>
      <c r="R34" s="22" t="s">
        <v>371</v>
      </c>
      <c r="S34" s="22" t="n">
        <v>822119</v>
      </c>
      <c r="T34" s="22" t="n">
        <v>23.397185</v>
      </c>
      <c r="U34" s="22" t="n">
        <v>84.108332</v>
      </c>
      <c r="V34" s="22" t="s">
        <v>129</v>
      </c>
      <c r="W34" s="22" t="n">
        <v>2023</v>
      </c>
      <c r="X34" s="22" t="n">
        <v>45214</v>
      </c>
      <c r="Y34" s="22" t="n">
        <v>680</v>
      </c>
      <c r="Z34" s="22" t="n">
        <v>680</v>
      </c>
      <c r="AA34" s="22" t="s">
        <v>23</v>
      </c>
      <c r="AB34" s="22" t="s">
        <v>130</v>
      </c>
      <c r="AC34" s="22" t="s">
        <v>131</v>
      </c>
      <c r="AD34" s="22" t="s">
        <v>132</v>
      </c>
      <c r="AE34" s="22" t="s">
        <v>372</v>
      </c>
      <c r="AF34" s="22" t="s">
        <v>373</v>
      </c>
      <c r="AG34" s="22" t="s">
        <v>374</v>
      </c>
      <c r="AH34" s="22" t="s">
        <v>136</v>
      </c>
      <c r="AI34" s="22" t="s">
        <v>137</v>
      </c>
      <c r="AJ34" s="22" t="n">
        <v>6</v>
      </c>
      <c r="AK34" s="22" t="n">
        <v>1</v>
      </c>
      <c r="AL34" s="22" t="n">
        <v>0</v>
      </c>
      <c r="AM34" s="22" t="n">
        <f aca="false">AL34+AK34+AJ34</f>
        <v>7</v>
      </c>
      <c r="AN34" s="22" t="n">
        <v>3</v>
      </c>
      <c r="AO34" s="22" t="n">
        <v>3</v>
      </c>
      <c r="AP34" s="22" t="n">
        <f aca="false">AN34+AO34</f>
        <v>6</v>
      </c>
      <c r="AQ34" s="22" t="n">
        <v>0</v>
      </c>
      <c r="AR34" s="22" t="n">
        <v>0</v>
      </c>
      <c r="AS34" s="22" t="n">
        <v>1</v>
      </c>
      <c r="AT34" s="22" t="n">
        <v>0</v>
      </c>
      <c r="AU34" s="22" t="n">
        <v>1</v>
      </c>
      <c r="AV34" s="22" t="n">
        <v>0</v>
      </c>
      <c r="AW34" s="22" t="n">
        <v>0</v>
      </c>
      <c r="AX34" s="22" t="n">
        <v>0</v>
      </c>
      <c r="AY34" s="22" t="s">
        <v>138</v>
      </c>
      <c r="AZ34" s="22" t="s">
        <v>139</v>
      </c>
      <c r="BA34" s="21"/>
    </row>
    <row r="35" customFormat="false" ht="14.25" hidden="false" customHeight="false" outlineLevel="0" collapsed="false">
      <c r="B35" s="22" t="n">
        <v>34</v>
      </c>
      <c r="C35" s="22" t="s">
        <v>375</v>
      </c>
      <c r="D35" s="22" t="s">
        <v>16</v>
      </c>
      <c r="E35" s="22" t="s">
        <v>21</v>
      </c>
      <c r="F35" s="22" t="n">
        <v>50001716</v>
      </c>
      <c r="G35" s="22" t="s">
        <v>120</v>
      </c>
      <c r="H35" s="22" t="s">
        <v>152</v>
      </c>
      <c r="I35" s="22" t="s">
        <v>122</v>
      </c>
      <c r="J35" s="22" t="s">
        <v>222</v>
      </c>
      <c r="K35" s="22" t="s">
        <v>222</v>
      </c>
      <c r="L35" s="22" t="s">
        <v>53</v>
      </c>
      <c r="M35" s="22" t="s">
        <v>153</v>
      </c>
      <c r="N35" s="22" t="s">
        <v>376</v>
      </c>
      <c r="O35" s="22" t="n">
        <v>7102</v>
      </c>
      <c r="P35" s="22" t="s">
        <v>377</v>
      </c>
      <c r="Q35" s="22" t="s">
        <v>127</v>
      </c>
      <c r="R35" s="22" t="s">
        <v>378</v>
      </c>
      <c r="S35" s="22" t="n">
        <v>828205</v>
      </c>
      <c r="T35" s="22" t="n">
        <v>23.788124</v>
      </c>
      <c r="U35" s="22" t="n">
        <v>86.708838</v>
      </c>
      <c r="V35" s="22" t="s">
        <v>129</v>
      </c>
      <c r="W35" s="22" t="n">
        <v>2019</v>
      </c>
      <c r="X35" s="22" t="n">
        <v>43827</v>
      </c>
      <c r="Y35" s="22" t="n">
        <v>1000</v>
      </c>
      <c r="Z35" s="22" t="n">
        <v>1000</v>
      </c>
      <c r="AA35" s="22" t="s">
        <v>23</v>
      </c>
      <c r="AB35" s="22" t="s">
        <v>130</v>
      </c>
      <c r="AC35" s="22" t="s">
        <v>131</v>
      </c>
      <c r="AD35" s="22" t="s">
        <v>132</v>
      </c>
      <c r="AE35" s="22" t="s">
        <v>379</v>
      </c>
      <c r="AF35" s="22" t="s">
        <v>380</v>
      </c>
      <c r="AG35" s="22" t="s">
        <v>381</v>
      </c>
      <c r="AH35" s="22" t="s">
        <v>136</v>
      </c>
      <c r="AI35" s="22" t="s">
        <v>137</v>
      </c>
      <c r="AJ35" s="22" t="n">
        <v>9</v>
      </c>
      <c r="AK35" s="22" t="n">
        <v>1</v>
      </c>
      <c r="AL35" s="22" t="n">
        <v>0</v>
      </c>
      <c r="AM35" s="22" t="n">
        <f aca="false">AL35+AK35+AJ35</f>
        <v>10</v>
      </c>
      <c r="AN35" s="22" t="n">
        <v>10</v>
      </c>
      <c r="AO35" s="22" t="n">
        <v>3</v>
      </c>
      <c r="AP35" s="22" t="n">
        <f aca="false">AN35+AO35</f>
        <v>13</v>
      </c>
      <c r="AQ35" s="22" t="n">
        <v>1</v>
      </c>
      <c r="AR35" s="22" t="n">
        <v>1</v>
      </c>
      <c r="AS35" s="22" t="n">
        <v>0</v>
      </c>
      <c r="AT35" s="22" t="n">
        <v>0</v>
      </c>
      <c r="AU35" s="22" t="n">
        <v>1</v>
      </c>
      <c r="AV35" s="22" t="n">
        <v>0</v>
      </c>
      <c r="AW35" s="22" t="n">
        <v>0</v>
      </c>
      <c r="AX35" s="22" t="n">
        <v>0</v>
      </c>
      <c r="AY35" s="22" t="s">
        <v>138</v>
      </c>
      <c r="AZ35" s="22" t="s">
        <v>139</v>
      </c>
      <c r="BA35" s="21"/>
    </row>
    <row r="36" customFormat="false" ht="14.25" hidden="false" customHeight="false" outlineLevel="0" collapsed="false">
      <c r="B36" s="22" t="n">
        <v>35</v>
      </c>
      <c r="C36" s="22" t="s">
        <v>382</v>
      </c>
      <c r="D36" s="22" t="s">
        <v>16</v>
      </c>
      <c r="E36" s="22" t="s">
        <v>21</v>
      </c>
      <c r="F36" s="22" t="n">
        <v>50001677</v>
      </c>
      <c r="G36" s="22" t="s">
        <v>120</v>
      </c>
      <c r="H36" s="22" t="s">
        <v>121</v>
      </c>
      <c r="I36" s="22" t="s">
        <v>122</v>
      </c>
      <c r="J36" s="22" t="s">
        <v>382</v>
      </c>
      <c r="K36" s="22" t="s">
        <v>382</v>
      </c>
      <c r="L36" s="22" t="s">
        <v>53</v>
      </c>
      <c r="M36" s="22" t="s">
        <v>124</v>
      </c>
      <c r="N36" s="22" t="s">
        <v>383</v>
      </c>
      <c r="O36" s="22" t="n">
        <v>7733</v>
      </c>
      <c r="P36" s="22" t="s">
        <v>384</v>
      </c>
      <c r="Q36" s="22" t="s">
        <v>127</v>
      </c>
      <c r="R36" s="22" t="s">
        <v>385</v>
      </c>
      <c r="S36" s="22" t="n">
        <v>816107</v>
      </c>
      <c r="T36" s="22" t="n">
        <v>24.63831</v>
      </c>
      <c r="U36" s="22" t="n">
        <v>87.844389</v>
      </c>
      <c r="V36" s="22" t="s">
        <v>129</v>
      </c>
      <c r="W36" s="22" t="n">
        <v>2019</v>
      </c>
      <c r="X36" s="22" t="n">
        <v>43773</v>
      </c>
      <c r="Y36" s="22" t="n">
        <v>1200</v>
      </c>
      <c r="Z36" s="22" t="n">
        <v>1200</v>
      </c>
      <c r="AA36" s="22" t="s">
        <v>23</v>
      </c>
      <c r="AB36" s="22" t="s">
        <v>130</v>
      </c>
      <c r="AC36" s="22" t="s">
        <v>131</v>
      </c>
      <c r="AD36" s="22" t="s">
        <v>132</v>
      </c>
      <c r="AE36" s="22" t="s">
        <v>386</v>
      </c>
      <c r="AF36" s="22" t="s">
        <v>387</v>
      </c>
      <c r="AG36" s="22" t="s">
        <v>388</v>
      </c>
      <c r="AH36" s="22" t="s">
        <v>136</v>
      </c>
      <c r="AI36" s="22" t="s">
        <v>137</v>
      </c>
      <c r="AJ36" s="22" t="n">
        <v>12</v>
      </c>
      <c r="AK36" s="22" t="n">
        <v>1</v>
      </c>
      <c r="AL36" s="22" t="n">
        <v>2</v>
      </c>
      <c r="AM36" s="22" t="n">
        <f aca="false">AL36+AK36+AJ36</f>
        <v>15</v>
      </c>
      <c r="AN36" s="22" t="n">
        <v>15</v>
      </c>
      <c r="AO36" s="22" t="n">
        <v>3</v>
      </c>
      <c r="AP36" s="22" t="n">
        <f aca="false">AN36+AO36</f>
        <v>18</v>
      </c>
      <c r="AQ36" s="22" t="n">
        <v>1</v>
      </c>
      <c r="AR36" s="22" t="n">
        <v>1</v>
      </c>
      <c r="AS36" s="22" t="n">
        <v>0</v>
      </c>
      <c r="AT36" s="22" t="n">
        <v>0</v>
      </c>
      <c r="AU36" s="22" t="n">
        <v>1</v>
      </c>
      <c r="AV36" s="22" t="n">
        <v>0</v>
      </c>
      <c r="AW36" s="22" t="n">
        <v>0</v>
      </c>
      <c r="AX36" s="22" t="n">
        <v>0</v>
      </c>
      <c r="AY36" s="22" t="s">
        <v>138</v>
      </c>
      <c r="AZ36" s="22" t="s">
        <v>139</v>
      </c>
      <c r="BA36" s="21"/>
    </row>
    <row r="37" customFormat="false" ht="14.25" hidden="false" customHeight="false" outlineLevel="0" collapsed="false">
      <c r="B37" s="22" t="n">
        <v>36</v>
      </c>
      <c r="C37" s="22" t="s">
        <v>389</v>
      </c>
      <c r="D37" s="22" t="s">
        <v>16</v>
      </c>
      <c r="E37" s="22" t="s">
        <v>21</v>
      </c>
      <c r="F37" s="22" t="n">
        <v>50001870</v>
      </c>
      <c r="G37" s="22" t="s">
        <v>120</v>
      </c>
      <c r="H37" s="22" t="s">
        <v>141</v>
      </c>
      <c r="I37" s="22" t="s">
        <v>122</v>
      </c>
      <c r="J37" s="22" t="s">
        <v>389</v>
      </c>
      <c r="K37" s="22" t="s">
        <v>390</v>
      </c>
      <c r="L37" s="22" t="s">
        <v>53</v>
      </c>
      <c r="M37" s="22" t="s">
        <v>124</v>
      </c>
      <c r="N37" s="22" t="s">
        <v>391</v>
      </c>
      <c r="O37" s="22" t="n">
        <v>8250</v>
      </c>
      <c r="P37" s="22" t="s">
        <v>392</v>
      </c>
      <c r="Q37" s="22" t="s">
        <v>146</v>
      </c>
      <c r="R37" s="22" t="s">
        <v>393</v>
      </c>
      <c r="S37" s="22" t="n">
        <v>829118</v>
      </c>
      <c r="T37" s="22" t="n">
        <v>23.663358</v>
      </c>
      <c r="U37" s="22" t="n">
        <v>85.30568</v>
      </c>
      <c r="V37" s="22" t="s">
        <v>129</v>
      </c>
      <c r="W37" s="22" t="n">
        <v>2020</v>
      </c>
      <c r="X37" s="22" t="n">
        <v>43895</v>
      </c>
      <c r="Y37" s="22" t="n">
        <v>600</v>
      </c>
      <c r="Z37" s="22" t="n">
        <v>600</v>
      </c>
      <c r="AA37" s="22" t="s">
        <v>23</v>
      </c>
      <c r="AB37" s="22" t="s">
        <v>130</v>
      </c>
      <c r="AC37" s="22" t="s">
        <v>131</v>
      </c>
      <c r="AD37" s="22" t="s">
        <v>132</v>
      </c>
      <c r="AE37" s="22" t="s">
        <v>394</v>
      </c>
      <c r="AF37" s="22" t="s">
        <v>395</v>
      </c>
      <c r="AG37" s="22" t="s">
        <v>396</v>
      </c>
      <c r="AH37" s="22" t="s">
        <v>397</v>
      </c>
      <c r="AI37" s="22" t="s">
        <v>137</v>
      </c>
      <c r="AJ37" s="22" t="n">
        <v>11</v>
      </c>
      <c r="AK37" s="22" t="n">
        <v>1</v>
      </c>
      <c r="AL37" s="22" t="n">
        <v>0</v>
      </c>
      <c r="AM37" s="22" t="n">
        <f aca="false">AL37+AK37+AJ37</f>
        <v>12</v>
      </c>
      <c r="AN37" s="22" t="n">
        <v>8</v>
      </c>
      <c r="AO37" s="22" t="n">
        <v>3</v>
      </c>
      <c r="AP37" s="22" t="n">
        <f aca="false">AN37+AO37</f>
        <v>11</v>
      </c>
      <c r="AQ37" s="22" t="n">
        <v>0</v>
      </c>
      <c r="AR37" s="22" t="n">
        <v>0</v>
      </c>
      <c r="AS37" s="22" t="n">
        <v>1</v>
      </c>
      <c r="AT37" s="22" t="n">
        <v>0</v>
      </c>
      <c r="AU37" s="22" t="n">
        <v>1</v>
      </c>
      <c r="AV37" s="22" t="n">
        <v>0</v>
      </c>
      <c r="AW37" s="22" t="n">
        <v>0</v>
      </c>
      <c r="AX37" s="22" t="n">
        <v>0</v>
      </c>
      <c r="AY37" s="22" t="s">
        <v>138</v>
      </c>
      <c r="AZ37" s="22" t="s">
        <v>139</v>
      </c>
      <c r="BA37" s="21"/>
    </row>
    <row r="38" customFormat="false" ht="14.25" hidden="false" customHeight="false" outlineLevel="0" collapsed="false">
      <c r="B38" s="22" t="n">
        <v>37</v>
      </c>
      <c r="C38" s="22" t="s">
        <v>398</v>
      </c>
      <c r="D38" s="22" t="s">
        <v>16</v>
      </c>
      <c r="E38" s="22" t="s">
        <v>21</v>
      </c>
      <c r="F38" s="22" t="n">
        <v>50001871</v>
      </c>
      <c r="G38" s="22" t="s">
        <v>120</v>
      </c>
      <c r="H38" s="22" t="s">
        <v>141</v>
      </c>
      <c r="I38" s="22" t="s">
        <v>122</v>
      </c>
      <c r="J38" s="22" t="s">
        <v>151</v>
      </c>
      <c r="K38" s="22" t="s">
        <v>151</v>
      </c>
      <c r="L38" s="22" t="s">
        <v>53</v>
      </c>
      <c r="M38" s="22" t="s">
        <v>124</v>
      </c>
      <c r="N38" s="22" t="s">
        <v>399</v>
      </c>
      <c r="O38" s="22" t="n">
        <v>8253</v>
      </c>
      <c r="P38" s="22" t="s">
        <v>400</v>
      </c>
      <c r="Q38" s="22" t="s">
        <v>127</v>
      </c>
      <c r="R38" s="22" t="s">
        <v>401</v>
      </c>
      <c r="S38" s="22" t="n">
        <v>829121</v>
      </c>
      <c r="T38" s="22" t="n">
        <v>23.615392</v>
      </c>
      <c r="U38" s="22" t="n">
        <v>85.851299</v>
      </c>
      <c r="V38" s="22" t="s">
        <v>129</v>
      </c>
      <c r="W38" s="22" t="n">
        <v>2020</v>
      </c>
      <c r="X38" s="22" t="n">
        <v>43966</v>
      </c>
      <c r="Y38" s="22" t="n">
        <v>920</v>
      </c>
      <c r="Z38" s="22" t="n">
        <v>920</v>
      </c>
      <c r="AA38" s="22" t="s">
        <v>23</v>
      </c>
      <c r="AB38" s="22" t="s">
        <v>130</v>
      </c>
      <c r="AC38" s="22" t="s">
        <v>131</v>
      </c>
      <c r="AD38" s="22" t="s">
        <v>132</v>
      </c>
      <c r="AE38" s="22" t="s">
        <v>402</v>
      </c>
      <c r="AF38" s="22" t="s">
        <v>403</v>
      </c>
      <c r="AG38" s="22" t="s">
        <v>404</v>
      </c>
      <c r="AH38" s="22" t="s">
        <v>136</v>
      </c>
      <c r="AI38" s="22" t="s">
        <v>137</v>
      </c>
      <c r="AJ38" s="22" t="n">
        <v>14</v>
      </c>
      <c r="AK38" s="22" t="n">
        <v>1</v>
      </c>
      <c r="AL38" s="22" t="n">
        <v>0</v>
      </c>
      <c r="AM38" s="22" t="n">
        <f aca="false">AL38+AK38+AJ38</f>
        <v>15</v>
      </c>
      <c r="AN38" s="22" t="n">
        <v>9</v>
      </c>
      <c r="AO38" s="22" t="n">
        <v>3</v>
      </c>
      <c r="AP38" s="22" t="n">
        <f aca="false">AN38+AO38</f>
        <v>12</v>
      </c>
      <c r="AQ38" s="22" t="n">
        <v>1</v>
      </c>
      <c r="AR38" s="22" t="n">
        <v>1</v>
      </c>
      <c r="AS38" s="22" t="n">
        <v>0</v>
      </c>
      <c r="AT38" s="22" t="n">
        <v>0</v>
      </c>
      <c r="AU38" s="22" t="n">
        <v>1</v>
      </c>
      <c r="AV38" s="22" t="n">
        <v>0</v>
      </c>
      <c r="AW38" s="22" t="n">
        <v>0</v>
      </c>
      <c r="AX38" s="22" t="n">
        <v>0</v>
      </c>
      <c r="AY38" s="22" t="s">
        <v>138</v>
      </c>
      <c r="AZ38" s="22" t="s">
        <v>214</v>
      </c>
      <c r="BA38" s="21"/>
    </row>
    <row r="39" customFormat="false" ht="14.25" hidden="false" customHeight="false" outlineLevel="0" collapsed="false">
      <c r="B39" s="22" t="n">
        <v>38</v>
      </c>
      <c r="C39" s="22" t="s">
        <v>405</v>
      </c>
      <c r="D39" s="22" t="s">
        <v>16</v>
      </c>
      <c r="E39" s="22" t="s">
        <v>21</v>
      </c>
      <c r="F39" s="22" t="n">
        <v>50000881</v>
      </c>
      <c r="G39" s="22" t="s">
        <v>120</v>
      </c>
      <c r="H39" s="22" t="s">
        <v>152</v>
      </c>
      <c r="I39" s="22" t="s">
        <v>122</v>
      </c>
      <c r="J39" s="22" t="s">
        <v>151</v>
      </c>
      <c r="K39" s="22" t="s">
        <v>151</v>
      </c>
      <c r="L39" s="22" t="s">
        <v>53</v>
      </c>
      <c r="M39" s="22" t="s">
        <v>153</v>
      </c>
      <c r="N39" s="22" t="s">
        <v>406</v>
      </c>
      <c r="O39" s="22" t="n">
        <v>2817</v>
      </c>
      <c r="P39" s="22" t="s">
        <v>407</v>
      </c>
      <c r="Q39" s="22" t="s">
        <v>127</v>
      </c>
      <c r="R39" s="22" t="s">
        <v>408</v>
      </c>
      <c r="S39" s="22" t="n">
        <v>829104</v>
      </c>
      <c r="T39" s="22" t="n">
        <v>23.76501</v>
      </c>
      <c r="U39" s="22" t="n">
        <v>85.996455</v>
      </c>
      <c r="V39" s="22" t="s">
        <v>129</v>
      </c>
      <c r="W39" s="22" t="n">
        <v>2017</v>
      </c>
      <c r="X39" s="22" t="n">
        <v>42847</v>
      </c>
      <c r="Y39" s="22" t="n">
        <v>1050</v>
      </c>
      <c r="Z39" s="22" t="n">
        <v>1050</v>
      </c>
      <c r="AA39" s="22" t="s">
        <v>23</v>
      </c>
      <c r="AB39" s="22" t="s">
        <v>130</v>
      </c>
      <c r="AC39" s="22" t="s">
        <v>131</v>
      </c>
      <c r="AD39" s="22" t="s">
        <v>132</v>
      </c>
      <c r="AE39" s="22" t="s">
        <v>409</v>
      </c>
      <c r="AF39" s="22" t="s">
        <v>410</v>
      </c>
      <c r="AG39" s="22" t="s">
        <v>411</v>
      </c>
      <c r="AH39" s="22" t="s">
        <v>136</v>
      </c>
      <c r="AI39" s="22" t="s">
        <v>137</v>
      </c>
      <c r="AJ39" s="22" t="n">
        <v>12</v>
      </c>
      <c r="AK39" s="22" t="n">
        <v>2</v>
      </c>
      <c r="AL39" s="22" t="n">
        <v>0</v>
      </c>
      <c r="AM39" s="22" t="n">
        <f aca="false">AL39+AK39+AJ39</f>
        <v>14</v>
      </c>
      <c r="AN39" s="22" t="n">
        <v>16</v>
      </c>
      <c r="AO39" s="22" t="n">
        <v>6</v>
      </c>
      <c r="AP39" s="22" t="n">
        <f aca="false">AN39+AO39</f>
        <v>22</v>
      </c>
      <c r="AQ39" s="22" t="n">
        <v>1</v>
      </c>
      <c r="AR39" s="22" t="n">
        <v>1</v>
      </c>
      <c r="AS39" s="22" t="n">
        <v>0</v>
      </c>
      <c r="AT39" s="22" t="n">
        <v>0</v>
      </c>
      <c r="AU39" s="22" t="n">
        <v>1</v>
      </c>
      <c r="AV39" s="22" t="n">
        <v>0</v>
      </c>
      <c r="AW39" s="22" t="n">
        <v>0</v>
      </c>
      <c r="AX39" s="22" t="n">
        <v>0</v>
      </c>
      <c r="AY39" s="22" t="s">
        <v>160</v>
      </c>
      <c r="AZ39" s="22" t="s">
        <v>139</v>
      </c>
      <c r="BA39" s="21"/>
    </row>
    <row r="40" customFormat="false" ht="14.25" hidden="false" customHeight="false" outlineLevel="0" collapsed="false">
      <c r="B40" s="22" t="n">
        <v>39</v>
      </c>
      <c r="C40" s="22" t="s">
        <v>390</v>
      </c>
      <c r="D40" s="22" t="s">
        <v>16</v>
      </c>
      <c r="E40" s="22" t="s">
        <v>21</v>
      </c>
      <c r="F40" s="22" t="n">
        <v>50000598</v>
      </c>
      <c r="G40" s="22" t="s">
        <v>120</v>
      </c>
      <c r="H40" s="22" t="s">
        <v>152</v>
      </c>
      <c r="I40" s="22" t="s">
        <v>122</v>
      </c>
      <c r="J40" s="22" t="s">
        <v>299</v>
      </c>
      <c r="K40" s="22" t="s">
        <v>390</v>
      </c>
      <c r="L40" s="22" t="s">
        <v>53</v>
      </c>
      <c r="M40" s="22" t="s">
        <v>153</v>
      </c>
      <c r="N40" s="22" t="s">
        <v>412</v>
      </c>
      <c r="O40" s="22" t="n">
        <v>887</v>
      </c>
      <c r="P40" s="22" t="s">
        <v>413</v>
      </c>
      <c r="Q40" s="22" t="s">
        <v>127</v>
      </c>
      <c r="R40" s="22" t="s">
        <v>414</v>
      </c>
      <c r="S40" s="22" t="n">
        <v>829122</v>
      </c>
      <c r="T40" s="22" t="n">
        <v>23.637751</v>
      </c>
      <c r="U40" s="22" t="n">
        <v>85.512316</v>
      </c>
      <c r="V40" s="22" t="s">
        <v>129</v>
      </c>
      <c r="W40" s="22" t="n">
        <v>2016</v>
      </c>
      <c r="X40" s="22" t="n">
        <v>42564</v>
      </c>
      <c r="Y40" s="22" t="n">
        <v>875</v>
      </c>
      <c r="Z40" s="22" t="n">
        <v>875</v>
      </c>
      <c r="AA40" s="22" t="s">
        <v>23</v>
      </c>
      <c r="AB40" s="22" t="s">
        <v>130</v>
      </c>
      <c r="AC40" s="22" t="s">
        <v>131</v>
      </c>
      <c r="AD40" s="22" t="s">
        <v>132</v>
      </c>
      <c r="AE40" s="22" t="s">
        <v>415</v>
      </c>
      <c r="AF40" s="22" t="s">
        <v>416</v>
      </c>
      <c r="AG40" s="22" t="s">
        <v>417</v>
      </c>
      <c r="AH40" s="22" t="s">
        <v>136</v>
      </c>
      <c r="AI40" s="22" t="s">
        <v>137</v>
      </c>
      <c r="AJ40" s="22" t="n">
        <v>12</v>
      </c>
      <c r="AK40" s="22" t="n">
        <v>2</v>
      </c>
      <c r="AL40" s="22" t="n">
        <v>0</v>
      </c>
      <c r="AM40" s="22" t="n">
        <f aca="false">AL40+AK40+AJ40</f>
        <v>14</v>
      </c>
      <c r="AN40" s="22" t="n">
        <v>14</v>
      </c>
      <c r="AO40" s="22" t="n">
        <v>9</v>
      </c>
      <c r="AP40" s="22" t="n">
        <f aca="false">AN40+AO40</f>
        <v>23</v>
      </c>
      <c r="AQ40" s="22" t="n">
        <v>0</v>
      </c>
      <c r="AR40" s="22" t="n">
        <v>0</v>
      </c>
      <c r="AS40" s="22" t="n">
        <v>1</v>
      </c>
      <c r="AT40" s="22" t="n">
        <v>0</v>
      </c>
      <c r="AU40" s="22" t="n">
        <v>1</v>
      </c>
      <c r="AV40" s="22" t="n">
        <v>0</v>
      </c>
      <c r="AW40" s="22" t="n">
        <v>0</v>
      </c>
      <c r="AX40" s="22" t="n">
        <v>0</v>
      </c>
      <c r="AY40" s="22" t="s">
        <v>160</v>
      </c>
      <c r="AZ40" s="22" t="s">
        <v>139</v>
      </c>
      <c r="BA40" s="21"/>
    </row>
    <row r="41" customFormat="false" ht="14.25" hidden="false" customHeight="false" outlineLevel="0" collapsed="false">
      <c r="B41" s="22" t="n">
        <v>40</v>
      </c>
      <c r="C41" s="22" t="s">
        <v>168</v>
      </c>
      <c r="D41" s="22" t="s">
        <v>16</v>
      </c>
      <c r="E41" s="22" t="s">
        <v>21</v>
      </c>
      <c r="F41" s="22" t="n">
        <v>50000602</v>
      </c>
      <c r="G41" s="22" t="s">
        <v>120</v>
      </c>
      <c r="H41" s="22" t="s">
        <v>207</v>
      </c>
      <c r="I41" s="22" t="s">
        <v>122</v>
      </c>
      <c r="J41" s="22" t="s">
        <v>168</v>
      </c>
      <c r="K41" s="22" t="s">
        <v>168</v>
      </c>
      <c r="L41" s="22" t="s">
        <v>53</v>
      </c>
      <c r="M41" s="22" t="s">
        <v>153</v>
      </c>
      <c r="N41" s="22" t="s">
        <v>418</v>
      </c>
      <c r="O41" s="22" t="n">
        <v>189</v>
      </c>
      <c r="P41" s="22" t="n">
        <v>594</v>
      </c>
      <c r="Q41" s="22" t="s">
        <v>225</v>
      </c>
      <c r="R41" s="22" t="s">
        <v>419</v>
      </c>
      <c r="S41" s="22" t="n">
        <v>834001</v>
      </c>
      <c r="T41" s="22" t="n">
        <v>23.365335</v>
      </c>
      <c r="U41" s="22" t="n">
        <v>85.347151</v>
      </c>
      <c r="V41" s="22" t="s">
        <v>129</v>
      </c>
      <c r="W41" s="22" t="n">
        <v>2018</v>
      </c>
      <c r="X41" s="22" t="n">
        <v>43364</v>
      </c>
      <c r="Y41" s="22" t="n">
        <v>2340</v>
      </c>
      <c r="Z41" s="22" t="n">
        <v>2340</v>
      </c>
      <c r="AA41" s="22" t="s">
        <v>23</v>
      </c>
      <c r="AB41" s="22" t="s">
        <v>130</v>
      </c>
      <c r="AC41" s="22" t="s">
        <v>131</v>
      </c>
      <c r="AD41" s="22" t="s">
        <v>132</v>
      </c>
      <c r="AE41" s="22" t="s">
        <v>130</v>
      </c>
      <c r="AF41" s="22" t="s">
        <v>131</v>
      </c>
      <c r="AG41" s="22" t="s">
        <v>132</v>
      </c>
      <c r="AH41" s="22" t="s">
        <v>397</v>
      </c>
      <c r="AI41" s="22" t="s">
        <v>137</v>
      </c>
      <c r="AJ41" s="22" t="n">
        <v>57</v>
      </c>
      <c r="AK41" s="22" t="n">
        <v>3</v>
      </c>
      <c r="AL41" s="22" t="n">
        <v>0</v>
      </c>
      <c r="AM41" s="22" t="n">
        <f aca="false">AL41+AK41+AJ41</f>
        <v>60</v>
      </c>
      <c r="AN41" s="22" t="n">
        <v>73</v>
      </c>
      <c r="AO41" s="22" t="n">
        <v>30</v>
      </c>
      <c r="AP41" s="22" t="n">
        <f aca="false">AN41+AO41</f>
        <v>103</v>
      </c>
      <c r="AQ41" s="22" t="n">
        <v>1</v>
      </c>
      <c r="AR41" s="22" t="n">
        <v>0</v>
      </c>
      <c r="AS41" s="22" t="n">
        <v>0</v>
      </c>
      <c r="AT41" s="22" t="n">
        <v>0</v>
      </c>
      <c r="AU41" s="22" t="n">
        <v>1</v>
      </c>
      <c r="AV41" s="22" t="n">
        <v>0</v>
      </c>
      <c r="AW41" s="22" t="n">
        <v>1</v>
      </c>
      <c r="AX41" s="22" t="n">
        <v>0</v>
      </c>
      <c r="AY41" s="22" t="s">
        <v>160</v>
      </c>
      <c r="AZ41" s="22" t="s">
        <v>139</v>
      </c>
      <c r="BA41" s="21"/>
    </row>
    <row r="42" customFormat="false" ht="14.25" hidden="false" customHeight="false" outlineLevel="0" collapsed="false">
      <c r="B42" s="22" t="n">
        <v>41</v>
      </c>
      <c r="C42" s="22" t="s">
        <v>420</v>
      </c>
      <c r="D42" s="22" t="s">
        <v>16</v>
      </c>
      <c r="E42" s="22" t="s">
        <v>21</v>
      </c>
      <c r="F42" s="22" t="n">
        <v>50000602</v>
      </c>
      <c r="G42" s="22" t="s">
        <v>162</v>
      </c>
      <c r="H42" s="22" t="s">
        <v>163</v>
      </c>
      <c r="I42" s="22" t="s">
        <v>122</v>
      </c>
      <c r="J42" s="22" t="s">
        <v>168</v>
      </c>
      <c r="K42" s="22" t="s">
        <v>168</v>
      </c>
      <c r="L42" s="22" t="s">
        <v>53</v>
      </c>
      <c r="M42" s="22" t="s">
        <v>153</v>
      </c>
      <c r="N42" s="22" t="s">
        <v>418</v>
      </c>
      <c r="O42" s="22" t="n">
        <v>189</v>
      </c>
      <c r="P42" s="22" t="s">
        <v>421</v>
      </c>
      <c r="Q42" s="22" t="s">
        <v>225</v>
      </c>
      <c r="R42" s="22" t="s">
        <v>422</v>
      </c>
      <c r="S42" s="22" t="n">
        <v>834001</v>
      </c>
      <c r="T42" s="22" t="n">
        <v>23.365335</v>
      </c>
      <c r="U42" s="22" t="n">
        <v>85.347151</v>
      </c>
      <c r="V42" s="22" t="s">
        <v>129</v>
      </c>
      <c r="W42" s="22" t="n">
        <v>2022</v>
      </c>
      <c r="X42" s="22" t="n">
        <v>44655</v>
      </c>
      <c r="Y42" s="22" t="n">
        <v>2483</v>
      </c>
      <c r="Z42" s="22" t="n">
        <v>2483</v>
      </c>
      <c r="AA42" s="22" t="s">
        <v>23</v>
      </c>
      <c r="AB42" s="22" t="s">
        <v>130</v>
      </c>
      <c r="AC42" s="22" t="s">
        <v>131</v>
      </c>
      <c r="AD42" s="22" t="s">
        <v>132</v>
      </c>
      <c r="AE42" s="22" t="s">
        <v>130</v>
      </c>
      <c r="AF42" s="22" t="s">
        <v>131</v>
      </c>
      <c r="AG42" s="22" t="s">
        <v>132</v>
      </c>
      <c r="AH42" s="22" t="s">
        <v>397</v>
      </c>
      <c r="AI42" s="22" t="s">
        <v>314</v>
      </c>
      <c r="AJ42" s="22" t="n">
        <v>72</v>
      </c>
      <c r="AK42" s="22" t="n">
        <v>0</v>
      </c>
      <c r="AL42" s="22" t="n">
        <v>0</v>
      </c>
      <c r="AM42" s="22" t="n">
        <f aca="false">AL42+AK42+AJ42</f>
        <v>72</v>
      </c>
      <c r="AN42" s="22" t="n">
        <v>74</v>
      </c>
      <c r="AO42" s="22" t="n">
        <v>33</v>
      </c>
      <c r="AP42" s="22" t="n">
        <f aca="false">AN42+AO42</f>
        <v>107</v>
      </c>
      <c r="AQ42" s="22" t="n">
        <v>1</v>
      </c>
      <c r="AR42" s="22" t="n">
        <v>1</v>
      </c>
      <c r="AS42" s="22" t="n">
        <v>0</v>
      </c>
      <c r="AT42" s="22" t="n">
        <v>0</v>
      </c>
      <c r="AU42" s="22" t="n">
        <v>1</v>
      </c>
      <c r="AV42" s="22" t="n">
        <v>1</v>
      </c>
      <c r="AW42" s="22" t="n">
        <v>0</v>
      </c>
      <c r="AX42" s="22" t="n">
        <v>0</v>
      </c>
      <c r="AY42" s="22" t="s">
        <v>160</v>
      </c>
      <c r="AZ42" s="22" t="s">
        <v>214</v>
      </c>
      <c r="BA42" s="21"/>
    </row>
    <row r="43" customFormat="false" ht="14.25" hidden="false" customHeight="false" outlineLevel="0" collapsed="false">
      <c r="B43" s="22" t="n">
        <v>42</v>
      </c>
      <c r="C43" s="22" t="s">
        <v>423</v>
      </c>
      <c r="D43" s="22" t="s">
        <v>16</v>
      </c>
      <c r="E43" s="22" t="s">
        <v>21</v>
      </c>
      <c r="F43" s="22" t="n">
        <v>50001599</v>
      </c>
      <c r="G43" s="22" t="s">
        <v>120</v>
      </c>
      <c r="H43" s="22" t="s">
        <v>121</v>
      </c>
      <c r="I43" s="22" t="s">
        <v>122</v>
      </c>
      <c r="J43" s="22" t="s">
        <v>423</v>
      </c>
      <c r="K43" s="22" t="s">
        <v>424</v>
      </c>
      <c r="L43" s="22" t="s">
        <v>53</v>
      </c>
      <c r="M43" s="22" t="s">
        <v>124</v>
      </c>
      <c r="N43" s="22" t="s">
        <v>425</v>
      </c>
      <c r="O43" s="22" t="n">
        <v>7582</v>
      </c>
      <c r="P43" s="22" t="s">
        <v>426</v>
      </c>
      <c r="Q43" s="22" t="s">
        <v>127</v>
      </c>
      <c r="R43" s="22" t="s">
        <v>427</v>
      </c>
      <c r="S43" s="22" t="n">
        <v>816109</v>
      </c>
      <c r="T43" s="22" t="n">
        <v>25.238503</v>
      </c>
      <c r="U43" s="22" t="n">
        <v>87.650805</v>
      </c>
      <c r="V43" s="22" t="s">
        <v>129</v>
      </c>
      <c r="W43" s="22" t="n">
        <v>2019</v>
      </c>
      <c r="X43" s="22" t="n">
        <v>43709</v>
      </c>
      <c r="Y43" s="22" t="n">
        <v>1022</v>
      </c>
      <c r="Z43" s="22" t="n">
        <v>1022</v>
      </c>
      <c r="AA43" s="22" t="s">
        <v>23</v>
      </c>
      <c r="AB43" s="22" t="s">
        <v>130</v>
      </c>
      <c r="AC43" s="22" t="s">
        <v>131</v>
      </c>
      <c r="AD43" s="22" t="s">
        <v>132</v>
      </c>
      <c r="AE43" s="22" t="s">
        <v>428</v>
      </c>
      <c r="AF43" s="22" t="s">
        <v>429</v>
      </c>
      <c r="AG43" s="22" t="s">
        <v>430</v>
      </c>
      <c r="AH43" s="22" t="s">
        <v>136</v>
      </c>
      <c r="AI43" s="22" t="s">
        <v>137</v>
      </c>
      <c r="AJ43" s="22" t="n">
        <v>12</v>
      </c>
      <c r="AK43" s="22" t="n">
        <v>1</v>
      </c>
      <c r="AL43" s="22" t="n">
        <v>2</v>
      </c>
      <c r="AM43" s="22" t="n">
        <f aca="false">AL43+AK43+AJ43</f>
        <v>15</v>
      </c>
      <c r="AN43" s="22" t="n">
        <v>11</v>
      </c>
      <c r="AO43" s="22" t="n">
        <v>6</v>
      </c>
      <c r="AP43" s="22" t="n">
        <f aca="false">AN43+AO43</f>
        <v>17</v>
      </c>
      <c r="AQ43" s="22" t="n">
        <v>0</v>
      </c>
      <c r="AR43" s="22" t="n">
        <v>0</v>
      </c>
      <c r="AS43" s="22" t="n">
        <v>1</v>
      </c>
      <c r="AT43" s="22" t="n">
        <v>0</v>
      </c>
      <c r="AU43" s="22" t="n">
        <v>1</v>
      </c>
      <c r="AV43" s="22" t="n">
        <v>0</v>
      </c>
      <c r="AW43" s="22" t="n">
        <v>0</v>
      </c>
      <c r="AX43" s="22" t="n">
        <v>0</v>
      </c>
      <c r="AY43" s="22" t="s">
        <v>138</v>
      </c>
      <c r="AZ43" s="22" t="s">
        <v>139</v>
      </c>
      <c r="BA43" s="21"/>
    </row>
    <row r="44" customFormat="false" ht="14.25" hidden="false" customHeight="false" outlineLevel="0" collapsed="false">
      <c r="B44" s="22" t="n">
        <v>43</v>
      </c>
      <c r="C44" s="22" t="s">
        <v>431</v>
      </c>
      <c r="D44" s="22" t="s">
        <v>16</v>
      </c>
      <c r="E44" s="22" t="s">
        <v>21</v>
      </c>
      <c r="F44" s="22" t="n">
        <v>50005667</v>
      </c>
      <c r="G44" s="22" t="s">
        <v>120</v>
      </c>
      <c r="H44" s="22" t="s">
        <v>141</v>
      </c>
      <c r="I44" s="22" t="s">
        <v>122</v>
      </c>
      <c r="J44" s="22" t="s">
        <v>192</v>
      </c>
      <c r="K44" s="22" t="s">
        <v>192</v>
      </c>
      <c r="L44" s="22" t="s">
        <v>53</v>
      </c>
      <c r="M44" s="22" t="s">
        <v>153</v>
      </c>
      <c r="N44" s="22" t="s">
        <v>432</v>
      </c>
      <c r="O44" s="22" t="n">
        <v>12721</v>
      </c>
      <c r="P44" s="22" t="s">
        <v>433</v>
      </c>
      <c r="Q44" s="22" t="s">
        <v>146</v>
      </c>
      <c r="R44" s="22" t="s">
        <v>434</v>
      </c>
      <c r="S44" s="22" t="n">
        <v>833219</v>
      </c>
      <c r="T44" s="22" t="n">
        <v>22.701236</v>
      </c>
      <c r="U44" s="22" t="n">
        <v>85.929414</v>
      </c>
      <c r="V44" s="22" t="s">
        <v>129</v>
      </c>
      <c r="W44" s="22" t="n">
        <v>2024</v>
      </c>
      <c r="X44" s="22" t="n">
        <v>45296</v>
      </c>
      <c r="Y44" s="22" t="n">
        <v>900</v>
      </c>
      <c r="Z44" s="22" t="n">
        <v>900</v>
      </c>
      <c r="AA44" s="22" t="s">
        <v>23</v>
      </c>
      <c r="AB44" s="22" t="s">
        <v>130</v>
      </c>
      <c r="AC44" s="22" t="s">
        <v>131</v>
      </c>
      <c r="AD44" s="22" t="s">
        <v>132</v>
      </c>
      <c r="AE44" s="22" t="s">
        <v>435</v>
      </c>
      <c r="AF44" s="22" t="s">
        <v>436</v>
      </c>
      <c r="AG44" s="22" t="s">
        <v>437</v>
      </c>
      <c r="AH44" s="22" t="s">
        <v>136</v>
      </c>
      <c r="AI44" s="22" t="s">
        <v>137</v>
      </c>
      <c r="AJ44" s="22" t="n">
        <v>4</v>
      </c>
      <c r="AK44" s="22" t="n">
        <v>1</v>
      </c>
      <c r="AL44" s="22" t="n">
        <v>0</v>
      </c>
      <c r="AM44" s="22" t="n">
        <f aca="false">AL44+AK44+AJ44</f>
        <v>5</v>
      </c>
      <c r="AN44" s="22" t="n">
        <v>2</v>
      </c>
      <c r="AO44" s="22" t="n">
        <v>3</v>
      </c>
      <c r="AP44" s="22" t="n">
        <f aca="false">AN44+AO44</f>
        <v>5</v>
      </c>
      <c r="AQ44" s="22" t="n">
        <v>1</v>
      </c>
      <c r="AR44" s="22" t="n">
        <v>1</v>
      </c>
      <c r="AS44" s="22" t="n">
        <v>0</v>
      </c>
      <c r="AT44" s="22" t="n">
        <v>0</v>
      </c>
      <c r="AU44" s="22" t="n">
        <v>1</v>
      </c>
      <c r="AV44" s="22" t="n">
        <v>0</v>
      </c>
      <c r="AW44" s="22" t="n">
        <v>0</v>
      </c>
      <c r="AX44" s="22" t="n">
        <v>0</v>
      </c>
      <c r="AY44" s="22" t="s">
        <v>138</v>
      </c>
      <c r="AZ44" s="22" t="s">
        <v>139</v>
      </c>
      <c r="BA44" s="21"/>
    </row>
    <row r="45" customFormat="false" ht="14.25" hidden="false" customHeight="false" outlineLevel="0" collapsed="false">
      <c r="B45" s="22" t="n">
        <v>44</v>
      </c>
      <c r="C45" s="22" t="s">
        <v>438</v>
      </c>
      <c r="D45" s="22" t="s">
        <v>16</v>
      </c>
      <c r="E45" s="22" t="s">
        <v>21</v>
      </c>
      <c r="F45" s="22" t="n">
        <v>50008054</v>
      </c>
      <c r="G45" s="22" t="s">
        <v>120</v>
      </c>
      <c r="H45" s="22" t="s">
        <v>141</v>
      </c>
      <c r="I45" s="22" t="s">
        <v>122</v>
      </c>
      <c r="J45" s="22" t="s">
        <v>438</v>
      </c>
      <c r="K45" s="22" t="s">
        <v>438</v>
      </c>
      <c r="L45" s="22" t="s">
        <v>53</v>
      </c>
      <c r="M45" s="22" t="s">
        <v>124</v>
      </c>
      <c r="N45" s="22"/>
      <c r="O45" s="22"/>
      <c r="P45" s="22"/>
      <c r="Q45" s="22" t="s">
        <v>127</v>
      </c>
      <c r="R45" s="22" t="s">
        <v>439</v>
      </c>
      <c r="S45" s="22" t="n">
        <v>835302</v>
      </c>
      <c r="T45" s="22" t="n">
        <v>23.420646</v>
      </c>
      <c r="U45" s="22" t="n">
        <v>84.676574</v>
      </c>
      <c r="V45" s="22" t="s">
        <v>440</v>
      </c>
      <c r="W45" s="22" t="n">
        <v>2026</v>
      </c>
      <c r="X45" s="22" t="n">
        <v>2026</v>
      </c>
      <c r="Y45" s="22" t="n">
        <v>1500</v>
      </c>
      <c r="Z45" s="22" t="n">
        <v>1500</v>
      </c>
      <c r="AA45" s="22" t="s">
        <v>23</v>
      </c>
      <c r="AB45" s="22" t="s">
        <v>130</v>
      </c>
      <c r="AC45" s="22" t="s">
        <v>131</v>
      </c>
      <c r="AD45" s="22" t="s">
        <v>132</v>
      </c>
      <c r="AE45" s="22" t="s">
        <v>441</v>
      </c>
      <c r="AF45" s="22" t="s">
        <v>442</v>
      </c>
      <c r="AG45" s="22" t="s">
        <v>443</v>
      </c>
      <c r="AH45" s="22" t="s">
        <v>136</v>
      </c>
      <c r="AI45" s="22" t="s">
        <v>137</v>
      </c>
      <c r="AJ45" s="22" t="n">
        <v>6</v>
      </c>
      <c r="AK45" s="22" t="n">
        <v>1</v>
      </c>
      <c r="AL45" s="22" t="n">
        <v>0</v>
      </c>
      <c r="AM45" s="22" t="n">
        <f aca="false">AL45+AK45+AJ45</f>
        <v>7</v>
      </c>
      <c r="AN45" s="22" t="n">
        <v>5</v>
      </c>
      <c r="AO45" s="22" t="n">
        <v>2</v>
      </c>
      <c r="AP45" s="22" t="n">
        <f aca="false">AN45+AO45</f>
        <v>7</v>
      </c>
      <c r="AQ45" s="22" t="n">
        <v>1</v>
      </c>
      <c r="AR45" s="22" t="n">
        <v>1</v>
      </c>
      <c r="AS45" s="22" t="n">
        <v>0</v>
      </c>
      <c r="AT45" s="22" t="n">
        <v>0</v>
      </c>
      <c r="AU45" s="22" t="n">
        <v>1</v>
      </c>
      <c r="AV45" s="22" t="n">
        <v>0</v>
      </c>
      <c r="AW45" s="22" t="n">
        <v>0</v>
      </c>
      <c r="AX45" s="22" t="n">
        <v>0</v>
      </c>
      <c r="AY45" s="22" t="s">
        <v>138</v>
      </c>
      <c r="AZ45" s="22" t="s">
        <v>444</v>
      </c>
      <c r="BA45" s="21"/>
    </row>
    <row r="46" customFormat="false" ht="14.25" hidden="false" customHeight="false" outlineLevel="0" collapsed="false">
      <c r="B46" s="22" t="n">
        <v>45</v>
      </c>
      <c r="C46" s="22" t="s">
        <v>445</v>
      </c>
      <c r="D46" s="22" t="s">
        <v>16</v>
      </c>
      <c r="E46" s="22" t="s">
        <v>21</v>
      </c>
      <c r="F46" s="22" t="n">
        <v>50008053</v>
      </c>
      <c r="G46" s="22" t="s">
        <v>120</v>
      </c>
      <c r="H46" s="22" t="s">
        <v>141</v>
      </c>
      <c r="I46" s="22" t="s">
        <v>122</v>
      </c>
      <c r="J46" s="22" t="s">
        <v>142</v>
      </c>
      <c r="K46" s="22" t="s">
        <v>142</v>
      </c>
      <c r="L46" s="22" t="s">
        <v>53</v>
      </c>
      <c r="M46" s="22" t="s">
        <v>124</v>
      </c>
      <c r="N46" s="22"/>
      <c r="O46" s="22"/>
      <c r="P46" s="22"/>
      <c r="Q46" s="22" t="s">
        <v>225</v>
      </c>
      <c r="R46" s="22" t="s">
        <v>446</v>
      </c>
      <c r="S46" s="22" t="n">
        <v>822116</v>
      </c>
      <c r="T46" s="22" t="n">
        <v>24.527896</v>
      </c>
      <c r="U46" s="22" t="n">
        <v>84.005221</v>
      </c>
      <c r="V46" s="22" t="s">
        <v>129</v>
      </c>
      <c r="W46" s="22" t="n">
        <v>2026</v>
      </c>
      <c r="X46" s="22" t="n">
        <v>2026</v>
      </c>
      <c r="Y46" s="22" t="n">
        <v>1500</v>
      </c>
      <c r="Z46" s="22" t="n">
        <v>1500</v>
      </c>
      <c r="AA46" s="22" t="s">
        <v>23</v>
      </c>
      <c r="AB46" s="22" t="s">
        <v>130</v>
      </c>
      <c r="AC46" s="22" t="s">
        <v>131</v>
      </c>
      <c r="AD46" s="22" t="s">
        <v>132</v>
      </c>
      <c r="AE46" s="22" t="s">
        <v>447</v>
      </c>
      <c r="AF46" s="22" t="s">
        <v>448</v>
      </c>
      <c r="AG46" s="22" t="s">
        <v>449</v>
      </c>
      <c r="AH46" s="22" t="s">
        <v>136</v>
      </c>
      <c r="AI46" s="22" t="s">
        <v>137</v>
      </c>
      <c r="AJ46" s="22" t="n">
        <v>6</v>
      </c>
      <c r="AK46" s="22" t="n">
        <v>1</v>
      </c>
      <c r="AL46" s="22" t="n">
        <v>0</v>
      </c>
      <c r="AM46" s="22" t="n">
        <f aca="false">AL46+AK46+AJ46</f>
        <v>7</v>
      </c>
      <c r="AN46" s="22" t="n">
        <v>4</v>
      </c>
      <c r="AO46" s="22" t="n">
        <v>1</v>
      </c>
      <c r="AP46" s="22" t="n">
        <f aca="false">AN46+AO46</f>
        <v>5</v>
      </c>
      <c r="AQ46" s="22" t="n">
        <v>1</v>
      </c>
      <c r="AR46" s="22" t="n">
        <v>1</v>
      </c>
      <c r="AS46" s="22" t="n">
        <v>0</v>
      </c>
      <c r="AT46" s="22" t="n">
        <v>0</v>
      </c>
      <c r="AU46" s="22" t="n">
        <v>1</v>
      </c>
      <c r="AV46" s="22" t="n">
        <v>0</v>
      </c>
      <c r="AW46" s="22" t="n">
        <v>0</v>
      </c>
      <c r="AX46" s="22" t="n">
        <v>0</v>
      </c>
      <c r="AY46" s="22" t="s">
        <v>138</v>
      </c>
      <c r="AZ46" s="22" t="s">
        <v>444</v>
      </c>
      <c r="BA46" s="21"/>
    </row>
    <row r="47" customFormat="false" ht="14.25" hidden="false" customHeight="false" outlineLevel="0" collapsed="false">
      <c r="B47" s="22" t="n">
        <v>46</v>
      </c>
      <c r="C47" s="22" t="s">
        <v>450</v>
      </c>
      <c r="D47" s="22" t="s">
        <v>16</v>
      </c>
      <c r="E47" s="22" t="s">
        <v>21</v>
      </c>
      <c r="F47" s="22" t="n">
        <v>50008049</v>
      </c>
      <c r="G47" s="22" t="s">
        <v>120</v>
      </c>
      <c r="H47" s="22" t="s">
        <v>141</v>
      </c>
      <c r="I47" s="22" t="s">
        <v>122</v>
      </c>
      <c r="J47" s="22" t="s">
        <v>451</v>
      </c>
      <c r="K47" s="22" t="s">
        <v>451</v>
      </c>
      <c r="L47" s="22" t="s">
        <v>53</v>
      </c>
      <c r="M47" s="22" t="s">
        <v>124</v>
      </c>
      <c r="N47" s="22"/>
      <c r="O47" s="22"/>
      <c r="P47" s="22"/>
      <c r="Q47" s="22" t="s">
        <v>127</v>
      </c>
      <c r="R47" s="22" t="s">
        <v>452</v>
      </c>
      <c r="S47" s="22" t="n">
        <v>825412</v>
      </c>
      <c r="T47" s="22" t="n">
        <v>24.412824</v>
      </c>
      <c r="U47" s="22" t="n">
        <v>85.983008</v>
      </c>
      <c r="V47" s="22" t="s">
        <v>440</v>
      </c>
      <c r="W47" s="22" t="n">
        <v>2026</v>
      </c>
      <c r="X47" s="22" t="n">
        <v>2026</v>
      </c>
      <c r="Y47" s="22" t="n">
        <v>1200</v>
      </c>
      <c r="Z47" s="22" t="n">
        <v>1200</v>
      </c>
      <c r="AA47" s="22" t="s">
        <v>23</v>
      </c>
      <c r="AB47" s="22" t="s">
        <v>130</v>
      </c>
      <c r="AC47" s="22" t="s">
        <v>131</v>
      </c>
      <c r="AD47" s="22" t="s">
        <v>132</v>
      </c>
      <c r="AE47" s="22" t="s">
        <v>453</v>
      </c>
      <c r="AF47" s="22" t="s">
        <v>454</v>
      </c>
      <c r="AG47" s="22" t="s">
        <v>455</v>
      </c>
      <c r="AH47" s="22" t="s">
        <v>136</v>
      </c>
      <c r="AI47" s="22" t="s">
        <v>137</v>
      </c>
      <c r="AJ47" s="22" t="n">
        <v>6</v>
      </c>
      <c r="AK47" s="22" t="n">
        <v>1</v>
      </c>
      <c r="AL47" s="22" t="n">
        <v>0</v>
      </c>
      <c r="AM47" s="22" t="n">
        <f aca="false">AL47+AK47+AJ47</f>
        <v>7</v>
      </c>
      <c r="AN47" s="22" t="n">
        <v>8</v>
      </c>
      <c r="AO47" s="22" t="n">
        <v>2</v>
      </c>
      <c r="AP47" s="22" t="n">
        <f aca="false">AN47+AO47</f>
        <v>10</v>
      </c>
      <c r="AQ47" s="22" t="n">
        <v>1</v>
      </c>
      <c r="AR47" s="22" t="n">
        <v>1</v>
      </c>
      <c r="AS47" s="22" t="n">
        <v>0</v>
      </c>
      <c r="AT47" s="22" t="n">
        <v>0</v>
      </c>
      <c r="AU47" s="22" t="n">
        <v>1</v>
      </c>
      <c r="AV47" s="22" t="n">
        <v>0</v>
      </c>
      <c r="AW47" s="22" t="n">
        <v>0</v>
      </c>
      <c r="AX47" s="22" t="n">
        <v>0</v>
      </c>
      <c r="AY47" s="22" t="s">
        <v>138</v>
      </c>
      <c r="AZ47" s="22" t="s">
        <v>444</v>
      </c>
      <c r="BA47" s="21"/>
    </row>
    <row r="48" customFormat="false" ht="14.25" hidden="false" customHeight="false" outlineLevel="0" collapsed="false">
      <c r="B48" s="22" t="n">
        <v>47</v>
      </c>
      <c r="C48" s="22" t="s">
        <v>456</v>
      </c>
      <c r="D48" s="22" t="s">
        <v>16</v>
      </c>
      <c r="E48" s="22" t="s">
        <v>21</v>
      </c>
      <c r="F48" s="22" t="n">
        <v>50008050</v>
      </c>
      <c r="G48" s="22" t="s">
        <v>120</v>
      </c>
      <c r="H48" s="22" t="s">
        <v>141</v>
      </c>
      <c r="I48" s="22" t="s">
        <v>122</v>
      </c>
      <c r="J48" s="22"/>
      <c r="K48" s="22"/>
      <c r="L48" s="22" t="s">
        <v>53</v>
      </c>
      <c r="M48" s="22" t="s">
        <v>124</v>
      </c>
      <c r="N48" s="22"/>
      <c r="O48" s="22"/>
      <c r="P48" s="22"/>
      <c r="Q48" s="22" t="s">
        <v>127</v>
      </c>
      <c r="R48" s="22" t="s">
        <v>457</v>
      </c>
      <c r="S48" s="22" t="n">
        <v>81419</v>
      </c>
      <c r="T48" s="22"/>
      <c r="U48" s="22"/>
      <c r="V48" s="22" t="s">
        <v>129</v>
      </c>
      <c r="W48" s="22" t="n">
        <v>2026</v>
      </c>
      <c r="X48" s="22" t="n">
        <v>2026</v>
      </c>
      <c r="Y48" s="22" t="n">
        <v>1100</v>
      </c>
      <c r="Z48" s="22" t="n">
        <v>1100</v>
      </c>
      <c r="AA48" s="22" t="s">
        <v>23</v>
      </c>
      <c r="AB48" s="22" t="s">
        <v>130</v>
      </c>
      <c r="AC48" s="22" t="s">
        <v>131</v>
      </c>
      <c r="AD48" s="22" t="s">
        <v>132</v>
      </c>
      <c r="AE48" s="22" t="s">
        <v>458</v>
      </c>
      <c r="AF48" s="22" t="s">
        <v>459</v>
      </c>
      <c r="AG48" s="22" t="s">
        <v>460</v>
      </c>
      <c r="AH48" s="22" t="s">
        <v>136</v>
      </c>
      <c r="AI48" s="22" t="s">
        <v>137</v>
      </c>
      <c r="AJ48" s="22" t="n">
        <v>6</v>
      </c>
      <c r="AK48" s="22" t="n">
        <v>1</v>
      </c>
      <c r="AL48" s="22" t="n">
        <v>0</v>
      </c>
      <c r="AM48" s="22" t="n">
        <f aca="false">AL48+AK48+AJ48</f>
        <v>7</v>
      </c>
      <c r="AN48" s="22" t="n">
        <v>5</v>
      </c>
      <c r="AO48" s="22" t="n">
        <v>2</v>
      </c>
      <c r="AP48" s="22" t="n">
        <f aca="false">AN48+AO48</f>
        <v>7</v>
      </c>
      <c r="AQ48" s="22" t="n">
        <v>1</v>
      </c>
      <c r="AR48" s="22" t="n">
        <v>1</v>
      </c>
      <c r="AS48" s="22" t="n">
        <v>0</v>
      </c>
      <c r="AT48" s="22" t="n">
        <v>0</v>
      </c>
      <c r="AU48" s="22" t="n">
        <v>1</v>
      </c>
      <c r="AV48" s="22" t="n">
        <v>0</v>
      </c>
      <c r="AW48" s="22" t="n">
        <v>0</v>
      </c>
      <c r="AX48" s="22" t="n">
        <v>0</v>
      </c>
      <c r="AY48" s="22" t="s">
        <v>138</v>
      </c>
      <c r="AZ48" s="22" t="s">
        <v>444</v>
      </c>
      <c r="BA48" s="21"/>
    </row>
    <row r="49" customFormat="false" ht="14.25" hidden="false" customHeight="false" outlineLevel="0" collapsed="false">
      <c r="B49" s="22" t="n">
        <v>89</v>
      </c>
      <c r="C49" s="22" t="s">
        <v>461</v>
      </c>
      <c r="D49" s="22" t="s">
        <v>16</v>
      </c>
      <c r="E49" s="22" t="s">
        <v>21</v>
      </c>
      <c r="F49" s="22" t="n">
        <v>50000017</v>
      </c>
      <c r="G49" s="22" t="s">
        <v>120</v>
      </c>
      <c r="H49" s="22" t="s">
        <v>121</v>
      </c>
      <c r="I49" s="22" t="s">
        <v>122</v>
      </c>
      <c r="J49" s="22" t="s">
        <v>462</v>
      </c>
      <c r="K49" s="22" t="s">
        <v>463</v>
      </c>
      <c r="L49" s="22" t="s">
        <v>22</v>
      </c>
      <c r="M49" s="22" t="s">
        <v>124</v>
      </c>
      <c r="N49" s="22" t="s">
        <v>464</v>
      </c>
      <c r="O49" s="22" t="n">
        <v>757</v>
      </c>
      <c r="P49" s="22" t="s">
        <v>465</v>
      </c>
      <c r="Q49" s="22" t="s">
        <v>127</v>
      </c>
      <c r="R49" s="22" t="s">
        <v>466</v>
      </c>
      <c r="S49" s="22" t="n">
        <v>533201</v>
      </c>
      <c r="T49" s="22" t="n">
        <v>16.5790939684296</v>
      </c>
      <c r="U49" s="22" t="n">
        <v>82.0042079331403</v>
      </c>
      <c r="V49" s="22" t="s">
        <v>129</v>
      </c>
      <c r="W49" s="22" t="n">
        <v>2019</v>
      </c>
      <c r="X49" s="23" t="n">
        <v>43678</v>
      </c>
      <c r="Y49" s="22" t="n">
        <v>1100</v>
      </c>
      <c r="Z49" s="22" t="n">
        <v>1100</v>
      </c>
      <c r="AA49" s="22" t="s">
        <v>23</v>
      </c>
      <c r="AB49" s="22" t="s">
        <v>467</v>
      </c>
      <c r="AC49" s="22" t="s">
        <v>468</v>
      </c>
      <c r="AD49" s="22" t="s">
        <v>469</v>
      </c>
      <c r="AE49" s="22" t="s">
        <v>470</v>
      </c>
      <c r="AF49" s="22" t="s">
        <v>471</v>
      </c>
      <c r="AG49" s="22" t="s">
        <v>472</v>
      </c>
      <c r="AH49" s="22" t="s">
        <v>473</v>
      </c>
      <c r="AI49" s="22" t="s">
        <v>137</v>
      </c>
      <c r="AJ49" s="22" t="n">
        <v>25</v>
      </c>
      <c r="AK49" s="22" t="n">
        <v>1</v>
      </c>
      <c r="AL49" s="22" t="n">
        <v>3</v>
      </c>
      <c r="AM49" s="22" t="n">
        <f aca="false">AL49+AK49+AJ49</f>
        <v>29</v>
      </c>
      <c r="AN49" s="24" t="n">
        <v>31</v>
      </c>
      <c r="AO49" s="24" t="n">
        <v>8</v>
      </c>
      <c r="AP49" s="22" t="n">
        <f aca="false">AN49+AO49</f>
        <v>39</v>
      </c>
      <c r="AQ49" s="22" t="n">
        <v>2</v>
      </c>
      <c r="AR49" s="22" t="n">
        <v>0</v>
      </c>
      <c r="AS49" s="22" t="n">
        <v>0</v>
      </c>
      <c r="AT49" s="22" t="n">
        <v>0</v>
      </c>
      <c r="AU49" s="22" t="n">
        <v>1</v>
      </c>
      <c r="AV49" s="22" t="n">
        <v>0</v>
      </c>
      <c r="AW49" s="22" t="n">
        <v>0</v>
      </c>
      <c r="AX49" s="22" t="n">
        <v>0</v>
      </c>
      <c r="AY49" s="22" t="s">
        <v>160</v>
      </c>
      <c r="AZ49" s="22" t="s">
        <v>139</v>
      </c>
    </row>
    <row r="50" customFormat="false" ht="14.25" hidden="false" customHeight="false" outlineLevel="0" collapsed="false">
      <c r="B50" s="22" t="n">
        <v>90</v>
      </c>
      <c r="C50" s="22" t="s">
        <v>474</v>
      </c>
      <c r="D50" s="22" t="s">
        <v>16</v>
      </c>
      <c r="E50" s="22" t="s">
        <v>21</v>
      </c>
      <c r="F50" s="22" t="n">
        <v>50000030</v>
      </c>
      <c r="G50" s="22" t="s">
        <v>120</v>
      </c>
      <c r="H50" s="22" t="s">
        <v>121</v>
      </c>
      <c r="I50" s="22" t="s">
        <v>122</v>
      </c>
      <c r="J50" s="22" t="s">
        <v>475</v>
      </c>
      <c r="K50" s="22" t="s">
        <v>476</v>
      </c>
      <c r="L50" s="22" t="s">
        <v>22</v>
      </c>
      <c r="M50" s="22" t="s">
        <v>124</v>
      </c>
      <c r="N50" s="22" t="s">
        <v>477</v>
      </c>
      <c r="O50" s="22" t="n">
        <v>165</v>
      </c>
      <c r="P50" s="22" t="n">
        <v>570</v>
      </c>
      <c r="Q50" s="22" t="s">
        <v>127</v>
      </c>
      <c r="R50" s="22" t="s">
        <v>478</v>
      </c>
      <c r="S50" s="22" t="n">
        <v>531001</v>
      </c>
      <c r="T50" s="22" t="n">
        <v>17.6888967249063</v>
      </c>
      <c r="U50" s="22" t="n">
        <v>83.0043719202957</v>
      </c>
      <c r="V50" s="22" t="s">
        <v>129</v>
      </c>
      <c r="W50" s="22" t="n">
        <v>2016</v>
      </c>
      <c r="X50" s="23" t="n">
        <v>42583</v>
      </c>
      <c r="Y50" s="22" t="n">
        <v>1200</v>
      </c>
      <c r="Z50" s="22" t="n">
        <v>1100</v>
      </c>
      <c r="AA50" s="22" t="s">
        <v>23</v>
      </c>
      <c r="AB50" s="22" t="s">
        <v>467</v>
      </c>
      <c r="AC50" s="22" t="s">
        <v>468</v>
      </c>
      <c r="AD50" s="22" t="s">
        <v>469</v>
      </c>
      <c r="AE50" s="22" t="s">
        <v>479</v>
      </c>
      <c r="AF50" s="22" t="s">
        <v>480</v>
      </c>
      <c r="AG50" s="22" t="s">
        <v>481</v>
      </c>
      <c r="AH50" s="22" t="s">
        <v>473</v>
      </c>
      <c r="AI50" s="22" t="s">
        <v>314</v>
      </c>
      <c r="AJ50" s="22" t="n">
        <v>30</v>
      </c>
      <c r="AK50" s="22" t="n">
        <v>1</v>
      </c>
      <c r="AL50" s="22" t="n">
        <v>2</v>
      </c>
      <c r="AM50" s="22" t="n">
        <f aca="false">AL50+AK50+AJ50</f>
        <v>33</v>
      </c>
      <c r="AN50" s="24" t="n">
        <v>27</v>
      </c>
      <c r="AO50" s="24" t="n">
        <v>8</v>
      </c>
      <c r="AP50" s="22" t="n">
        <f aca="false">AN50+AO50</f>
        <v>35</v>
      </c>
      <c r="AQ50" s="22" t="n">
        <v>1</v>
      </c>
      <c r="AR50" s="22" t="n">
        <v>1</v>
      </c>
      <c r="AS50" s="22" t="n">
        <v>0</v>
      </c>
      <c r="AT50" s="22" t="n">
        <v>0</v>
      </c>
      <c r="AU50" s="22" t="n">
        <v>1</v>
      </c>
      <c r="AV50" s="22" t="n">
        <v>0</v>
      </c>
      <c r="AW50" s="22" t="n">
        <v>0</v>
      </c>
      <c r="AX50" s="22" t="n">
        <v>0</v>
      </c>
      <c r="AY50" s="22" t="s">
        <v>160</v>
      </c>
      <c r="AZ50" s="22" t="s">
        <v>139</v>
      </c>
    </row>
    <row r="51" customFormat="false" ht="14.25" hidden="false" customHeight="false" outlineLevel="0" collapsed="false">
      <c r="B51" s="22" t="n">
        <v>91</v>
      </c>
      <c r="C51" s="22" t="s">
        <v>482</v>
      </c>
      <c r="D51" s="22" t="s">
        <v>16</v>
      </c>
      <c r="E51" s="22" t="s">
        <v>21</v>
      </c>
      <c r="F51" s="22" t="n">
        <v>50000098</v>
      </c>
      <c r="G51" s="22" t="s">
        <v>120</v>
      </c>
      <c r="H51" s="22" t="s">
        <v>207</v>
      </c>
      <c r="I51" s="22" t="s">
        <v>122</v>
      </c>
      <c r="J51" s="22" t="s">
        <v>483</v>
      </c>
      <c r="K51" s="22" t="s">
        <v>484</v>
      </c>
      <c r="L51" s="22" t="s">
        <v>22</v>
      </c>
      <c r="M51" s="22" t="s">
        <v>153</v>
      </c>
      <c r="N51" s="22" t="s">
        <v>485</v>
      </c>
      <c r="O51" s="22" t="n">
        <v>114</v>
      </c>
      <c r="P51" s="22" t="n">
        <v>519</v>
      </c>
      <c r="Q51" s="22" t="s">
        <v>127</v>
      </c>
      <c r="R51" s="22" t="s">
        <v>486</v>
      </c>
      <c r="S51" s="22" t="n">
        <v>534201</v>
      </c>
      <c r="T51" s="22" t="n">
        <v>16.54364</v>
      </c>
      <c r="U51" s="22" t="n">
        <v>81.524195</v>
      </c>
      <c r="V51" s="22" t="s">
        <v>129</v>
      </c>
      <c r="W51" s="22" t="n">
        <v>2019</v>
      </c>
      <c r="X51" s="23" t="n">
        <v>43528</v>
      </c>
      <c r="Y51" s="22" t="n">
        <v>1700</v>
      </c>
      <c r="Z51" s="22" t="n">
        <v>1700</v>
      </c>
      <c r="AA51" s="22" t="s">
        <v>23</v>
      </c>
      <c r="AB51" s="22" t="s">
        <v>467</v>
      </c>
      <c r="AC51" s="22" t="s">
        <v>468</v>
      </c>
      <c r="AD51" s="22" t="s">
        <v>469</v>
      </c>
      <c r="AE51" s="22" t="s">
        <v>487</v>
      </c>
      <c r="AF51" s="22" t="s">
        <v>488</v>
      </c>
      <c r="AG51" s="22" t="s">
        <v>489</v>
      </c>
      <c r="AH51" s="22" t="s">
        <v>473</v>
      </c>
      <c r="AI51" s="22" t="s">
        <v>137</v>
      </c>
      <c r="AJ51" s="22" t="n">
        <v>40</v>
      </c>
      <c r="AK51" s="22" t="n">
        <v>2</v>
      </c>
      <c r="AL51" s="22" t="n">
        <v>2</v>
      </c>
      <c r="AM51" s="22" t="n">
        <f aca="false">AL51+AK51+AJ51</f>
        <v>44</v>
      </c>
      <c r="AN51" s="25" t="n">
        <v>51</v>
      </c>
      <c r="AO51" s="25" t="n">
        <v>15</v>
      </c>
      <c r="AP51" s="22" t="n">
        <f aca="false">AN51+AO51</f>
        <v>66</v>
      </c>
      <c r="AQ51" s="22" t="n">
        <v>1</v>
      </c>
      <c r="AR51" s="22" t="n">
        <v>1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1</v>
      </c>
      <c r="AX51" s="22" t="n">
        <v>0</v>
      </c>
      <c r="AY51" s="22" t="s">
        <v>160</v>
      </c>
      <c r="AZ51" s="22" t="s">
        <v>139</v>
      </c>
    </row>
    <row r="52" customFormat="false" ht="14.25" hidden="false" customHeight="false" outlineLevel="0" collapsed="false">
      <c r="B52" s="22" t="n">
        <v>92</v>
      </c>
      <c r="C52" s="22" t="s">
        <v>490</v>
      </c>
      <c r="D52" s="22" t="s">
        <v>16</v>
      </c>
      <c r="E52" s="22" t="s">
        <v>21</v>
      </c>
      <c r="F52" s="22" t="n">
        <v>50000320</v>
      </c>
      <c r="G52" s="22" t="s">
        <v>120</v>
      </c>
      <c r="H52" s="22" t="s">
        <v>207</v>
      </c>
      <c r="I52" s="22" t="s">
        <v>122</v>
      </c>
      <c r="J52" s="22" t="s">
        <v>462</v>
      </c>
      <c r="K52" s="22" t="s">
        <v>490</v>
      </c>
      <c r="L52" s="22" t="s">
        <v>22</v>
      </c>
      <c r="M52" s="22" t="s">
        <v>153</v>
      </c>
      <c r="N52" s="22" t="s">
        <v>491</v>
      </c>
      <c r="O52" s="22" t="n">
        <v>69</v>
      </c>
      <c r="P52" s="22" t="n">
        <v>469</v>
      </c>
      <c r="Q52" s="22" t="s">
        <v>127</v>
      </c>
      <c r="R52" s="22" t="s">
        <v>492</v>
      </c>
      <c r="S52" s="22" t="n">
        <v>533001</v>
      </c>
      <c r="T52" s="22" t="n">
        <v>16.961235</v>
      </c>
      <c r="U52" s="22" t="n">
        <v>82.235624</v>
      </c>
      <c r="V52" s="22" t="s">
        <v>129</v>
      </c>
      <c r="W52" s="22" t="n">
        <v>2011</v>
      </c>
      <c r="X52" s="23" t="n">
        <v>40674</v>
      </c>
      <c r="Y52" s="22" t="n">
        <v>2100</v>
      </c>
      <c r="Z52" s="22" t="n">
        <v>2100</v>
      </c>
      <c r="AA52" s="22" t="s">
        <v>23</v>
      </c>
      <c r="AB52" s="22" t="s">
        <v>467</v>
      </c>
      <c r="AC52" s="22" t="s">
        <v>468</v>
      </c>
      <c r="AD52" s="22" t="s">
        <v>469</v>
      </c>
      <c r="AE52" s="22" t="s">
        <v>467</v>
      </c>
      <c r="AF52" s="22" t="s">
        <v>468</v>
      </c>
      <c r="AG52" s="22" t="s">
        <v>469</v>
      </c>
      <c r="AH52" s="22" t="s">
        <v>493</v>
      </c>
      <c r="AI52" s="22" t="s">
        <v>137</v>
      </c>
      <c r="AJ52" s="22" t="n">
        <v>24</v>
      </c>
      <c r="AK52" s="22" t="n">
        <v>2</v>
      </c>
      <c r="AL52" s="22" t="n">
        <v>2</v>
      </c>
      <c r="AM52" s="22" t="n">
        <f aca="false">AL52+AK52+AJ52</f>
        <v>28</v>
      </c>
      <c r="AN52" s="24" t="n">
        <v>27</v>
      </c>
      <c r="AO52" s="24" t="n">
        <v>25</v>
      </c>
      <c r="AP52" s="22" t="n">
        <f aca="false">AN52+AO52</f>
        <v>52</v>
      </c>
      <c r="AQ52" s="22" t="n">
        <v>1</v>
      </c>
      <c r="AR52" s="22" t="n">
        <v>1</v>
      </c>
      <c r="AS52" s="22" t="n">
        <v>0</v>
      </c>
      <c r="AT52" s="22" t="n">
        <v>1</v>
      </c>
      <c r="AU52" s="22" t="n">
        <v>1</v>
      </c>
      <c r="AV52" s="22" t="n">
        <v>0</v>
      </c>
      <c r="AW52" s="22" t="n">
        <v>2</v>
      </c>
      <c r="AX52" s="22" t="n">
        <v>0</v>
      </c>
      <c r="AY52" s="22" t="s">
        <v>160</v>
      </c>
      <c r="AZ52" s="22" t="s">
        <v>139</v>
      </c>
    </row>
    <row r="53" customFormat="false" ht="14.25" hidden="false" customHeight="false" outlineLevel="0" collapsed="false">
      <c r="B53" s="22" t="n">
        <v>93</v>
      </c>
      <c r="C53" s="22" t="s">
        <v>494</v>
      </c>
      <c r="D53" s="22" t="s">
        <v>16</v>
      </c>
      <c r="E53" s="22" t="s">
        <v>21</v>
      </c>
      <c r="F53" s="22" t="n">
        <v>50007160</v>
      </c>
      <c r="G53" s="22" t="s">
        <v>162</v>
      </c>
      <c r="H53" s="22" t="s">
        <v>163</v>
      </c>
      <c r="I53" s="22" t="s">
        <v>122</v>
      </c>
      <c r="J53" s="22" t="s">
        <v>462</v>
      </c>
      <c r="K53" s="22" t="s">
        <v>490</v>
      </c>
      <c r="L53" s="22" t="s">
        <v>22</v>
      </c>
      <c r="M53" s="22" t="s">
        <v>153</v>
      </c>
      <c r="N53" s="22" t="s">
        <v>491</v>
      </c>
      <c r="O53" s="22" t="n">
        <v>69</v>
      </c>
      <c r="P53" s="22" t="s">
        <v>495</v>
      </c>
      <c r="Q53" s="22" t="s">
        <v>127</v>
      </c>
      <c r="R53" s="22" t="s">
        <v>496</v>
      </c>
      <c r="S53" s="22" t="n">
        <v>533001</v>
      </c>
      <c r="T53" s="22" t="n">
        <v>16.961235</v>
      </c>
      <c r="U53" s="22" t="n">
        <v>82.235624</v>
      </c>
      <c r="V53" s="22" t="s">
        <v>129</v>
      </c>
      <c r="W53" s="22" t="n">
        <v>2022</v>
      </c>
      <c r="X53" s="23" t="n">
        <v>44760</v>
      </c>
      <c r="Y53" s="22" t="n">
        <v>900</v>
      </c>
      <c r="Z53" s="22" t="n">
        <v>900</v>
      </c>
      <c r="AA53" s="22" t="s">
        <v>23</v>
      </c>
      <c r="AB53" s="22" t="s">
        <v>467</v>
      </c>
      <c r="AC53" s="22" t="s">
        <v>468</v>
      </c>
      <c r="AD53" s="22" t="s">
        <v>469</v>
      </c>
      <c r="AE53" s="22" t="s">
        <v>467</v>
      </c>
      <c r="AF53" s="22" t="s">
        <v>468</v>
      </c>
      <c r="AG53" s="22" t="s">
        <v>469</v>
      </c>
      <c r="AH53" s="22" t="s">
        <v>473</v>
      </c>
      <c r="AI53" s="22" t="s">
        <v>137</v>
      </c>
      <c r="AJ53" s="22" t="n">
        <v>22</v>
      </c>
      <c r="AK53" s="22" t="n">
        <v>0</v>
      </c>
      <c r="AL53" s="22" t="n">
        <v>0</v>
      </c>
      <c r="AM53" s="22" t="n">
        <f aca="false">AL53+AK53+AJ53</f>
        <v>22</v>
      </c>
      <c r="AN53" s="24" t="n">
        <v>14</v>
      </c>
      <c r="AO53" s="24" t="n">
        <v>10</v>
      </c>
      <c r="AP53" s="22" t="n">
        <f aca="false">AN53+AO53</f>
        <v>24</v>
      </c>
      <c r="AQ53" s="22" t="n">
        <v>1</v>
      </c>
      <c r="AR53" s="22" t="n">
        <v>0</v>
      </c>
      <c r="AS53" s="22" t="n">
        <v>0</v>
      </c>
      <c r="AT53" s="22" t="n">
        <v>0</v>
      </c>
      <c r="AU53" s="22" t="n">
        <v>1</v>
      </c>
      <c r="AV53" s="22" t="n">
        <v>0</v>
      </c>
      <c r="AW53" s="22" t="n">
        <v>0</v>
      </c>
      <c r="AX53" s="22" t="n">
        <v>0</v>
      </c>
      <c r="AY53" s="22" t="s">
        <v>160</v>
      </c>
      <c r="AZ53" s="22" t="s">
        <v>139</v>
      </c>
    </row>
    <row r="54" customFormat="false" ht="14.25" hidden="false" customHeight="false" outlineLevel="0" collapsed="false">
      <c r="B54" s="22" t="n">
        <v>94</v>
      </c>
      <c r="C54" s="22" t="s">
        <v>497</v>
      </c>
      <c r="D54" s="22" t="s">
        <v>16</v>
      </c>
      <c r="E54" s="22" t="s">
        <v>21</v>
      </c>
      <c r="F54" s="22" t="n">
        <v>50007160</v>
      </c>
      <c r="G54" s="22" t="s">
        <v>162</v>
      </c>
      <c r="H54" s="22" t="s">
        <v>163</v>
      </c>
      <c r="I54" s="22" t="s">
        <v>122</v>
      </c>
      <c r="J54" s="22" t="s">
        <v>462</v>
      </c>
      <c r="K54" s="22" t="s">
        <v>490</v>
      </c>
      <c r="L54" s="22" t="s">
        <v>22</v>
      </c>
      <c r="M54" s="22" t="s">
        <v>153</v>
      </c>
      <c r="N54" s="22" t="s">
        <v>491</v>
      </c>
      <c r="O54" s="22" t="n">
        <v>69</v>
      </c>
      <c r="P54" s="22" t="n">
        <v>469</v>
      </c>
      <c r="Q54" s="22" t="s">
        <v>498</v>
      </c>
      <c r="R54" s="22" t="s">
        <v>499</v>
      </c>
      <c r="S54" s="22" t="n">
        <v>533001</v>
      </c>
      <c r="T54" s="22" t="n">
        <v>16.961235</v>
      </c>
      <c r="U54" s="22" t="n">
        <v>82.235624</v>
      </c>
      <c r="V54" s="22" t="s">
        <v>129</v>
      </c>
      <c r="W54" s="22" t="n">
        <v>2025</v>
      </c>
      <c r="X54" s="23" t="n">
        <v>45876</v>
      </c>
      <c r="Y54" s="22" t="n">
        <v>1500</v>
      </c>
      <c r="Z54" s="22" t="n">
        <v>1500</v>
      </c>
      <c r="AA54" s="22" t="s">
        <v>23</v>
      </c>
      <c r="AB54" s="22" t="s">
        <v>467</v>
      </c>
      <c r="AC54" s="22" t="s">
        <v>468</v>
      </c>
      <c r="AD54" s="22" t="s">
        <v>469</v>
      </c>
      <c r="AE54" s="22" t="s">
        <v>467</v>
      </c>
      <c r="AF54" s="22" t="s">
        <v>468</v>
      </c>
      <c r="AG54" s="22" t="s">
        <v>469</v>
      </c>
      <c r="AH54" s="22" t="s">
        <v>493</v>
      </c>
      <c r="AI54" s="22" t="s">
        <v>314</v>
      </c>
      <c r="AJ54" s="22" t="n">
        <v>30</v>
      </c>
      <c r="AK54" s="22" t="n">
        <v>0</v>
      </c>
      <c r="AL54" s="22" t="n">
        <v>0</v>
      </c>
      <c r="AM54" s="22" t="n">
        <f aca="false">AL54+AK54+AJ54</f>
        <v>30</v>
      </c>
      <c r="AN54" s="24" t="n">
        <v>30</v>
      </c>
      <c r="AO54" s="24" t="n">
        <v>0</v>
      </c>
      <c r="AP54" s="22" t="n">
        <f aca="false">AN54+AO54</f>
        <v>30</v>
      </c>
      <c r="AQ54" s="22" t="n">
        <v>1</v>
      </c>
      <c r="AR54" s="22" t="n">
        <v>1</v>
      </c>
      <c r="AS54" s="22" t="n">
        <v>0</v>
      </c>
      <c r="AT54" s="22" t="n">
        <v>0</v>
      </c>
      <c r="AU54" s="22" t="n">
        <v>1</v>
      </c>
      <c r="AV54" s="22" t="n">
        <v>0</v>
      </c>
      <c r="AW54" s="22" t="n">
        <v>0</v>
      </c>
      <c r="AX54" s="22" t="n">
        <v>0</v>
      </c>
      <c r="AY54" s="22" t="s">
        <v>160</v>
      </c>
      <c r="AZ54" s="22" t="s">
        <v>500</v>
      </c>
    </row>
    <row r="55" customFormat="false" ht="15.5" hidden="false" customHeight="false" outlineLevel="0" collapsed="false">
      <c r="B55" s="22" t="n">
        <v>95</v>
      </c>
      <c r="C55" s="22" t="s">
        <v>501</v>
      </c>
      <c r="D55" s="22" t="s">
        <v>16</v>
      </c>
      <c r="E55" s="22" t="s">
        <v>21</v>
      </c>
      <c r="F55" s="22" t="n">
        <v>50000531</v>
      </c>
      <c r="G55" s="22" t="s">
        <v>120</v>
      </c>
      <c r="H55" s="22" t="s">
        <v>121</v>
      </c>
      <c r="I55" s="22" t="s">
        <v>122</v>
      </c>
      <c r="J55" s="22" t="s">
        <v>502</v>
      </c>
      <c r="K55" s="22" t="s">
        <v>502</v>
      </c>
      <c r="L55" s="22" t="s">
        <v>22</v>
      </c>
      <c r="M55" s="22" t="s">
        <v>124</v>
      </c>
      <c r="N55" s="22" t="s">
        <v>503</v>
      </c>
      <c r="O55" s="22" t="n">
        <v>1156</v>
      </c>
      <c r="P55" s="22" t="s">
        <v>504</v>
      </c>
      <c r="Q55" s="22" t="s">
        <v>127</v>
      </c>
      <c r="R55" s="22" t="s">
        <v>505</v>
      </c>
      <c r="S55" s="22" t="n">
        <v>532222</v>
      </c>
      <c r="T55" s="22" t="n">
        <v>18.76026</v>
      </c>
      <c r="U55" s="22" t="n">
        <v>84.41966</v>
      </c>
      <c r="V55" s="22" t="s">
        <v>129</v>
      </c>
      <c r="W55" s="22" t="n">
        <v>2016</v>
      </c>
      <c r="X55" s="23" t="n">
        <v>42583</v>
      </c>
      <c r="Y55" s="22" t="n">
        <v>600</v>
      </c>
      <c r="Z55" s="22" t="n">
        <v>550</v>
      </c>
      <c r="AA55" s="22" t="s">
        <v>23</v>
      </c>
      <c r="AB55" s="22" t="s">
        <v>467</v>
      </c>
      <c r="AC55" s="22" t="s">
        <v>468</v>
      </c>
      <c r="AD55" s="22" t="s">
        <v>469</v>
      </c>
      <c r="AE55" s="22" t="s">
        <v>506</v>
      </c>
      <c r="AF55" s="22" t="s">
        <v>507</v>
      </c>
      <c r="AG55" s="22" t="s">
        <v>508</v>
      </c>
      <c r="AH55" s="22" t="s">
        <v>473</v>
      </c>
      <c r="AI55" s="22" t="s">
        <v>137</v>
      </c>
      <c r="AJ55" s="22" t="n">
        <v>32</v>
      </c>
      <c r="AK55" s="22" t="n">
        <v>1</v>
      </c>
      <c r="AL55" s="22" t="n">
        <v>0</v>
      </c>
      <c r="AM55" s="22" t="n">
        <f aca="false">AL55+AK55+AJ55</f>
        <v>33</v>
      </c>
      <c r="AN55" s="25" t="n">
        <v>10</v>
      </c>
      <c r="AO55" s="25" t="n">
        <v>6</v>
      </c>
      <c r="AP55" s="22" t="n">
        <f aca="false">AN55+AO55</f>
        <v>16</v>
      </c>
      <c r="AQ55" s="22" t="n">
        <v>2</v>
      </c>
      <c r="AR55" s="22" t="n">
        <v>0</v>
      </c>
      <c r="AS55" s="22" t="n">
        <v>0</v>
      </c>
      <c r="AT55" s="22" t="n">
        <v>0</v>
      </c>
      <c r="AU55" s="22" t="n">
        <v>1</v>
      </c>
      <c r="AV55" s="22" t="n">
        <v>0</v>
      </c>
      <c r="AW55" s="22" t="n">
        <v>0</v>
      </c>
      <c r="AX55" s="22" t="n">
        <v>0</v>
      </c>
      <c r="AY55" s="22" t="s">
        <v>160</v>
      </c>
      <c r="AZ55" s="22" t="s">
        <v>139</v>
      </c>
    </row>
    <row r="56" customFormat="false" ht="14.25" hidden="false" customHeight="false" outlineLevel="0" collapsed="false">
      <c r="B56" s="22" t="n">
        <v>96</v>
      </c>
      <c r="C56" s="22" t="s">
        <v>509</v>
      </c>
      <c r="D56" s="22" t="s">
        <v>16</v>
      </c>
      <c r="E56" s="22" t="s">
        <v>21</v>
      </c>
      <c r="F56" s="22" t="n">
        <v>50000898</v>
      </c>
      <c r="G56" s="22" t="s">
        <v>120</v>
      </c>
      <c r="H56" s="22" t="s">
        <v>121</v>
      </c>
      <c r="I56" s="22" t="s">
        <v>510</v>
      </c>
      <c r="J56" s="22" t="s">
        <v>462</v>
      </c>
      <c r="K56" s="22" t="s">
        <v>462</v>
      </c>
      <c r="L56" s="22" t="s">
        <v>22</v>
      </c>
      <c r="M56" s="22" t="s">
        <v>124</v>
      </c>
      <c r="N56" s="22" t="s">
        <v>511</v>
      </c>
      <c r="O56" s="22" t="n">
        <v>2643</v>
      </c>
      <c r="P56" s="22" t="s">
        <v>512</v>
      </c>
      <c r="Q56" s="22" t="s">
        <v>127</v>
      </c>
      <c r="R56" s="22" t="s">
        <v>513</v>
      </c>
      <c r="S56" s="22" t="n">
        <v>533308</v>
      </c>
      <c r="T56" s="22" t="n">
        <v>16.870772</v>
      </c>
      <c r="U56" s="22" t="n">
        <v>81.928882</v>
      </c>
      <c r="V56" s="22" t="s">
        <v>129</v>
      </c>
      <c r="W56" s="22" t="n">
        <v>2017</v>
      </c>
      <c r="X56" s="23" t="n">
        <v>42846</v>
      </c>
      <c r="Y56" s="22" t="n">
        <v>1450</v>
      </c>
      <c r="Z56" s="22" t="n">
        <v>1450</v>
      </c>
      <c r="AA56" s="22" t="s">
        <v>23</v>
      </c>
      <c r="AB56" s="22" t="s">
        <v>467</v>
      </c>
      <c r="AC56" s="22" t="s">
        <v>468</v>
      </c>
      <c r="AD56" s="22" t="s">
        <v>469</v>
      </c>
      <c r="AE56" s="22" t="s">
        <v>514</v>
      </c>
      <c r="AF56" s="22" t="s">
        <v>515</v>
      </c>
      <c r="AG56" s="22" t="s">
        <v>516</v>
      </c>
      <c r="AH56" s="22" t="s">
        <v>473</v>
      </c>
      <c r="AI56" s="22" t="s">
        <v>137</v>
      </c>
      <c r="AJ56" s="22" t="n">
        <v>13</v>
      </c>
      <c r="AK56" s="22" t="n">
        <v>1</v>
      </c>
      <c r="AL56" s="22" t="n">
        <v>2</v>
      </c>
      <c r="AM56" s="22" t="n">
        <f aca="false">AL56+AK56+AJ56</f>
        <v>16</v>
      </c>
      <c r="AN56" s="24" t="n">
        <v>12</v>
      </c>
      <c r="AO56" s="24" t="n">
        <v>7</v>
      </c>
      <c r="AP56" s="22" t="n">
        <f aca="false">AN56+AO56</f>
        <v>19</v>
      </c>
      <c r="AQ56" s="22" t="n">
        <v>1</v>
      </c>
      <c r="AR56" s="22" t="n">
        <v>0</v>
      </c>
      <c r="AS56" s="22" t="n">
        <v>0</v>
      </c>
      <c r="AT56" s="22" t="n">
        <v>0</v>
      </c>
      <c r="AU56" s="22" t="n">
        <v>0</v>
      </c>
      <c r="AV56" s="22" t="n">
        <v>0</v>
      </c>
      <c r="AW56" s="22" t="n">
        <v>0</v>
      </c>
      <c r="AX56" s="22" t="n">
        <v>0</v>
      </c>
      <c r="AY56" s="22" t="s">
        <v>160</v>
      </c>
      <c r="AZ56" s="22" t="s">
        <v>139</v>
      </c>
    </row>
    <row r="57" customFormat="false" ht="14.25" hidden="false" customHeight="false" outlineLevel="0" collapsed="false">
      <c r="B57" s="22" t="n">
        <v>97</v>
      </c>
      <c r="C57" s="22" t="s">
        <v>517</v>
      </c>
      <c r="D57" s="22" t="s">
        <v>16</v>
      </c>
      <c r="E57" s="22" t="s">
        <v>21</v>
      </c>
      <c r="F57" s="22" t="n">
        <v>50000498</v>
      </c>
      <c r="G57" s="22" t="s">
        <v>120</v>
      </c>
      <c r="H57" s="22" t="s">
        <v>141</v>
      </c>
      <c r="I57" s="22" t="s">
        <v>122</v>
      </c>
      <c r="J57" s="22" t="s">
        <v>517</v>
      </c>
      <c r="K57" s="22" t="s">
        <v>484</v>
      </c>
      <c r="L57" s="22" t="s">
        <v>22</v>
      </c>
      <c r="M57" s="22" t="s">
        <v>124</v>
      </c>
      <c r="N57" s="22" t="s">
        <v>518</v>
      </c>
      <c r="O57" s="22" t="n">
        <v>1172</v>
      </c>
      <c r="P57" s="22" t="s">
        <v>519</v>
      </c>
      <c r="Q57" s="22" t="s">
        <v>127</v>
      </c>
      <c r="R57" s="22" t="s">
        <v>520</v>
      </c>
      <c r="S57" s="22" t="n">
        <v>534275</v>
      </c>
      <c r="T57" s="22" t="n">
        <v>16.437361</v>
      </c>
      <c r="U57" s="22" t="n">
        <v>81.703254</v>
      </c>
      <c r="V57" s="22" t="s">
        <v>129</v>
      </c>
      <c r="W57" s="22" t="n">
        <v>2018</v>
      </c>
      <c r="X57" s="23" t="n">
        <v>43171</v>
      </c>
      <c r="Y57" s="22" t="n">
        <v>600</v>
      </c>
      <c r="Z57" s="22" t="n">
        <v>600</v>
      </c>
      <c r="AA57" s="22" t="s">
        <v>23</v>
      </c>
      <c r="AB57" s="22" t="s">
        <v>467</v>
      </c>
      <c r="AC57" s="22" t="s">
        <v>468</v>
      </c>
      <c r="AD57" s="22" t="s">
        <v>469</v>
      </c>
      <c r="AE57" s="22" t="s">
        <v>521</v>
      </c>
      <c r="AF57" s="22" t="s">
        <v>522</v>
      </c>
      <c r="AG57" s="22" t="s">
        <v>523</v>
      </c>
      <c r="AH57" s="22" t="s">
        <v>473</v>
      </c>
      <c r="AI57" s="22" t="s">
        <v>137</v>
      </c>
      <c r="AJ57" s="22" t="n">
        <v>4</v>
      </c>
      <c r="AK57" s="22" t="n">
        <v>1</v>
      </c>
      <c r="AL57" s="22" t="n">
        <v>0</v>
      </c>
      <c r="AM57" s="22" t="n">
        <f aca="false">AL57+AK57+AJ57</f>
        <v>5</v>
      </c>
      <c r="AN57" s="24" t="n">
        <v>11</v>
      </c>
      <c r="AO57" s="24" t="n">
        <v>5</v>
      </c>
      <c r="AP57" s="22" t="n">
        <f aca="false">AN57+AO57</f>
        <v>16</v>
      </c>
      <c r="AQ57" s="22" t="n">
        <v>1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s">
        <v>160</v>
      </c>
      <c r="AZ57" s="22" t="s">
        <v>139</v>
      </c>
    </row>
    <row r="58" customFormat="false" ht="14.25" hidden="false" customHeight="false" outlineLevel="0" collapsed="false">
      <c r="B58" s="22" t="n">
        <v>98</v>
      </c>
      <c r="C58" s="22" t="s">
        <v>524</v>
      </c>
      <c r="D58" s="22" t="s">
        <v>16</v>
      </c>
      <c r="E58" s="22" t="s">
        <v>21</v>
      </c>
      <c r="F58" s="22" t="n">
        <v>50005209</v>
      </c>
      <c r="G58" s="22" t="s">
        <v>120</v>
      </c>
      <c r="H58" s="22" t="s">
        <v>525</v>
      </c>
      <c r="I58" s="22" t="s">
        <v>122</v>
      </c>
      <c r="J58" s="22" t="s">
        <v>475</v>
      </c>
      <c r="K58" s="22" t="s">
        <v>475</v>
      </c>
      <c r="L58" s="22" t="s">
        <v>22</v>
      </c>
      <c r="M58" s="22" t="s">
        <v>124</v>
      </c>
      <c r="N58" s="22" t="s">
        <v>526</v>
      </c>
      <c r="O58" s="22" t="n">
        <v>12189</v>
      </c>
      <c r="P58" s="22" t="s">
        <v>527</v>
      </c>
      <c r="Q58" s="22" t="s">
        <v>127</v>
      </c>
      <c r="R58" s="22" t="s">
        <v>528</v>
      </c>
      <c r="S58" s="22" t="n">
        <v>531116</v>
      </c>
      <c r="T58" s="22" t="n">
        <v>17.662607</v>
      </c>
      <c r="U58" s="22" t="n">
        <v>82.619575</v>
      </c>
      <c r="V58" s="22" t="s">
        <v>129</v>
      </c>
      <c r="W58" s="22" t="n">
        <v>2023</v>
      </c>
      <c r="X58" s="23" t="n">
        <v>45261</v>
      </c>
      <c r="Y58" s="22" t="n">
        <v>850</v>
      </c>
      <c r="Z58" s="22" t="n">
        <v>850</v>
      </c>
      <c r="AA58" s="22" t="s">
        <v>23</v>
      </c>
      <c r="AB58" s="22" t="s">
        <v>467</v>
      </c>
      <c r="AC58" s="22" t="s">
        <v>468</v>
      </c>
      <c r="AD58" s="22" t="s">
        <v>469</v>
      </c>
      <c r="AE58" s="22" t="s">
        <v>529</v>
      </c>
      <c r="AF58" s="22" t="s">
        <v>530</v>
      </c>
      <c r="AG58" s="22" t="s">
        <v>531</v>
      </c>
      <c r="AH58" s="22" t="s">
        <v>473</v>
      </c>
      <c r="AI58" s="22" t="s">
        <v>137</v>
      </c>
      <c r="AJ58" s="22" t="n">
        <v>6</v>
      </c>
      <c r="AK58" s="22" t="n">
        <v>1</v>
      </c>
      <c r="AL58" s="22" t="n">
        <v>0</v>
      </c>
      <c r="AM58" s="22" t="n">
        <f aca="false">AL58+AK58+AJ58</f>
        <v>7</v>
      </c>
      <c r="AN58" s="25" t="n">
        <v>8</v>
      </c>
      <c r="AO58" s="25" t="n">
        <v>5</v>
      </c>
      <c r="AP58" s="22" t="n">
        <f aca="false">AN58+AO58</f>
        <v>13</v>
      </c>
      <c r="AQ58" s="22" t="n">
        <v>1</v>
      </c>
      <c r="AR58" s="22" t="n">
        <v>1</v>
      </c>
      <c r="AS58" s="22" t="n">
        <v>0</v>
      </c>
      <c r="AT58" s="22" t="n">
        <v>0</v>
      </c>
      <c r="AU58" s="22" t="n">
        <v>0</v>
      </c>
      <c r="AV58" s="22" t="n">
        <v>1</v>
      </c>
      <c r="AW58" s="22" t="n">
        <v>0</v>
      </c>
      <c r="AX58" s="22" t="n">
        <v>0</v>
      </c>
      <c r="AY58" s="22" t="s">
        <v>138</v>
      </c>
      <c r="AZ58" s="22" t="s">
        <v>139</v>
      </c>
    </row>
    <row r="59" customFormat="false" ht="14.25" hidden="false" customHeight="false" outlineLevel="0" collapsed="false">
      <c r="B59" s="22" t="n">
        <v>99</v>
      </c>
      <c r="C59" s="22" t="s">
        <v>532</v>
      </c>
      <c r="D59" s="22" t="s">
        <v>16</v>
      </c>
      <c r="E59" s="22" t="s">
        <v>21</v>
      </c>
      <c r="F59" s="22" t="n">
        <v>50003644</v>
      </c>
      <c r="G59" s="22" t="s">
        <v>120</v>
      </c>
      <c r="H59" s="22" t="s">
        <v>533</v>
      </c>
      <c r="I59" s="22" t="s">
        <v>122</v>
      </c>
      <c r="J59" s="22" t="s">
        <v>475</v>
      </c>
      <c r="K59" s="22" t="s">
        <v>534</v>
      </c>
      <c r="L59" s="22" t="s">
        <v>22</v>
      </c>
      <c r="M59" s="22" t="s">
        <v>153</v>
      </c>
      <c r="N59" s="22" t="s">
        <v>535</v>
      </c>
      <c r="O59" s="22" t="n">
        <v>10935</v>
      </c>
      <c r="P59" s="22" t="s">
        <v>536</v>
      </c>
      <c r="Q59" s="22" t="s">
        <v>127</v>
      </c>
      <c r="R59" s="22" t="s">
        <v>537</v>
      </c>
      <c r="S59" s="22" t="n">
        <v>531024</v>
      </c>
      <c r="T59" s="22" t="n">
        <v>18.079963</v>
      </c>
      <c r="U59" s="22" t="n">
        <v>82.668413</v>
      </c>
      <c r="V59" s="22" t="s">
        <v>129</v>
      </c>
      <c r="W59" s="22" t="n">
        <v>2022</v>
      </c>
      <c r="X59" s="23" t="n">
        <v>44713</v>
      </c>
      <c r="Y59" s="22" t="n">
        <v>2100</v>
      </c>
      <c r="Z59" s="22" t="n">
        <v>2100</v>
      </c>
      <c r="AA59" s="22" t="s">
        <v>23</v>
      </c>
      <c r="AB59" s="22" t="s">
        <v>467</v>
      </c>
      <c r="AC59" s="22" t="s">
        <v>468</v>
      </c>
      <c r="AD59" s="22" t="s">
        <v>469</v>
      </c>
      <c r="AE59" s="22" t="s">
        <v>538</v>
      </c>
      <c r="AF59" s="22" t="s">
        <v>539</v>
      </c>
      <c r="AG59" s="22" t="s">
        <v>540</v>
      </c>
      <c r="AH59" s="22" t="s">
        <v>473</v>
      </c>
      <c r="AI59" s="22" t="s">
        <v>137</v>
      </c>
      <c r="AJ59" s="22" t="n">
        <v>4</v>
      </c>
      <c r="AK59" s="22" t="n">
        <v>1</v>
      </c>
      <c r="AL59" s="22" t="n">
        <v>0</v>
      </c>
      <c r="AM59" s="22" t="n">
        <f aca="false">AL59+AK59+AJ59</f>
        <v>5</v>
      </c>
      <c r="AN59" s="25" t="n">
        <v>5</v>
      </c>
      <c r="AO59" s="25" t="n">
        <v>2</v>
      </c>
      <c r="AP59" s="22" t="n">
        <f aca="false">AN59+AO59</f>
        <v>7</v>
      </c>
      <c r="AQ59" s="22" t="n">
        <v>1</v>
      </c>
      <c r="AR59" s="22" t="n">
        <v>0</v>
      </c>
      <c r="AS59" s="22" t="n">
        <v>0</v>
      </c>
      <c r="AT59" s="22" t="n">
        <v>0</v>
      </c>
      <c r="AU59" s="22" t="n">
        <v>1</v>
      </c>
      <c r="AV59" s="22" t="n">
        <v>0</v>
      </c>
      <c r="AW59" s="22" t="n">
        <v>0</v>
      </c>
      <c r="AX59" s="22" t="n">
        <v>0</v>
      </c>
      <c r="AY59" s="22" t="s">
        <v>138</v>
      </c>
      <c r="AZ59" s="22" t="s">
        <v>139</v>
      </c>
    </row>
    <row r="60" customFormat="false" ht="14.25" hidden="false" customHeight="false" outlineLevel="0" collapsed="false">
      <c r="B60" s="22" t="n">
        <v>100</v>
      </c>
      <c r="C60" s="22" t="s">
        <v>541</v>
      </c>
      <c r="D60" s="22" t="s">
        <v>16</v>
      </c>
      <c r="E60" s="22" t="s">
        <v>21</v>
      </c>
      <c r="F60" s="22" t="n">
        <v>50000528</v>
      </c>
      <c r="G60" s="22" t="s">
        <v>120</v>
      </c>
      <c r="H60" s="22" t="s">
        <v>121</v>
      </c>
      <c r="I60" s="22" t="s">
        <v>510</v>
      </c>
      <c r="J60" s="22" t="s">
        <v>541</v>
      </c>
      <c r="K60" s="22" t="s">
        <v>484</v>
      </c>
      <c r="L60" s="22" t="s">
        <v>22</v>
      </c>
      <c r="M60" s="22" t="s">
        <v>124</v>
      </c>
      <c r="N60" s="22" t="s">
        <v>542</v>
      </c>
      <c r="O60" s="22" t="n">
        <v>1159</v>
      </c>
      <c r="P60" s="22" t="s">
        <v>543</v>
      </c>
      <c r="Q60" s="22" t="s">
        <v>127</v>
      </c>
      <c r="R60" s="22" t="s">
        <v>544</v>
      </c>
      <c r="S60" s="22" t="n">
        <v>534260</v>
      </c>
      <c r="T60" s="22" t="n">
        <v>16.51569</v>
      </c>
      <c r="U60" s="22" t="n">
        <v>81.730484</v>
      </c>
      <c r="V60" s="22" t="s">
        <v>129</v>
      </c>
      <c r="W60" s="22" t="n">
        <v>2016</v>
      </c>
      <c r="X60" s="23" t="n">
        <v>42705</v>
      </c>
      <c r="Y60" s="22" t="n">
        <v>1748</v>
      </c>
      <c r="Z60" s="22" t="n">
        <v>1748</v>
      </c>
      <c r="AA60" s="22" t="s">
        <v>23</v>
      </c>
      <c r="AB60" s="22" t="s">
        <v>467</v>
      </c>
      <c r="AC60" s="22" t="s">
        <v>468</v>
      </c>
      <c r="AD60" s="22" t="s">
        <v>469</v>
      </c>
      <c r="AE60" s="22" t="s">
        <v>545</v>
      </c>
      <c r="AF60" s="22" t="s">
        <v>546</v>
      </c>
      <c r="AG60" s="22" t="s">
        <v>547</v>
      </c>
      <c r="AH60" s="22" t="s">
        <v>473</v>
      </c>
      <c r="AI60" s="22" t="s">
        <v>137</v>
      </c>
      <c r="AJ60" s="22" t="n">
        <v>25</v>
      </c>
      <c r="AK60" s="22" t="n">
        <v>2</v>
      </c>
      <c r="AL60" s="22" t="n">
        <v>2</v>
      </c>
      <c r="AM60" s="22" t="n">
        <f aca="false">AL60+AK60+AJ60</f>
        <v>29</v>
      </c>
      <c r="AN60" s="24" t="n">
        <v>20</v>
      </c>
      <c r="AO60" s="24" t="n">
        <v>8</v>
      </c>
      <c r="AP60" s="22" t="n">
        <f aca="false">AN60+AO60</f>
        <v>28</v>
      </c>
      <c r="AQ60" s="22" t="n">
        <v>1</v>
      </c>
      <c r="AR60" s="22" t="n">
        <v>1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s">
        <v>160</v>
      </c>
      <c r="AZ60" s="22" t="s">
        <v>139</v>
      </c>
    </row>
    <row r="61" customFormat="false" ht="14.25" hidden="false" customHeight="false" outlineLevel="0" collapsed="false">
      <c r="B61" s="22" t="n">
        <v>101</v>
      </c>
      <c r="C61" s="22" t="s">
        <v>548</v>
      </c>
      <c r="D61" s="22" t="s">
        <v>16</v>
      </c>
      <c r="E61" s="22" t="s">
        <v>21</v>
      </c>
      <c r="F61" s="22" t="n">
        <v>50000543</v>
      </c>
      <c r="G61" s="22" t="s">
        <v>120</v>
      </c>
      <c r="H61" s="22" t="s">
        <v>121</v>
      </c>
      <c r="I61" s="22" t="s">
        <v>122</v>
      </c>
      <c r="J61" s="22" t="s">
        <v>549</v>
      </c>
      <c r="K61" s="22" t="s">
        <v>550</v>
      </c>
      <c r="L61" s="22" t="s">
        <v>22</v>
      </c>
      <c r="M61" s="22" t="s">
        <v>124</v>
      </c>
      <c r="N61" s="22" t="s">
        <v>551</v>
      </c>
      <c r="O61" s="22" t="n">
        <v>1157</v>
      </c>
      <c r="P61" s="22" t="s">
        <v>552</v>
      </c>
      <c r="Q61" s="22" t="s">
        <v>127</v>
      </c>
      <c r="R61" s="22" t="s">
        <v>553</v>
      </c>
      <c r="S61" s="22" t="n">
        <v>535501</v>
      </c>
      <c r="T61" s="22" t="n">
        <v>18.783426</v>
      </c>
      <c r="U61" s="22" t="n">
        <v>83.428928</v>
      </c>
      <c r="V61" s="22" t="s">
        <v>129</v>
      </c>
      <c r="W61" s="22" t="n">
        <v>2019</v>
      </c>
      <c r="X61" s="23" t="n">
        <v>43678</v>
      </c>
      <c r="Y61" s="22" t="n">
        <v>1250</v>
      </c>
      <c r="Z61" s="22" t="n">
        <v>1200</v>
      </c>
      <c r="AA61" s="22" t="s">
        <v>23</v>
      </c>
      <c r="AB61" s="22" t="s">
        <v>467</v>
      </c>
      <c r="AC61" s="22" t="s">
        <v>468</v>
      </c>
      <c r="AD61" s="22" t="s">
        <v>469</v>
      </c>
      <c r="AE61" s="22" t="s">
        <v>554</v>
      </c>
      <c r="AF61" s="22" t="s">
        <v>555</v>
      </c>
      <c r="AG61" s="22" t="s">
        <v>556</v>
      </c>
      <c r="AH61" s="22" t="s">
        <v>473</v>
      </c>
      <c r="AI61" s="22" t="s">
        <v>137</v>
      </c>
      <c r="AJ61" s="22" t="n">
        <v>20</v>
      </c>
      <c r="AK61" s="22" t="n">
        <v>1</v>
      </c>
      <c r="AL61" s="22" t="n">
        <v>1</v>
      </c>
      <c r="AM61" s="22" t="n">
        <f aca="false">AL61+AK61+AJ61</f>
        <v>22</v>
      </c>
      <c r="AN61" s="25" t="n">
        <v>10</v>
      </c>
      <c r="AO61" s="25" t="n">
        <v>5</v>
      </c>
      <c r="AP61" s="22" t="n">
        <f aca="false">AN61+AO61</f>
        <v>15</v>
      </c>
      <c r="AQ61" s="22" t="n">
        <v>1</v>
      </c>
      <c r="AR61" s="22" t="n">
        <v>0</v>
      </c>
      <c r="AS61" s="22" t="n">
        <v>0</v>
      </c>
      <c r="AT61" s="22" t="n">
        <v>0</v>
      </c>
      <c r="AU61" s="22" t="n">
        <v>1</v>
      </c>
      <c r="AV61" s="22" t="n">
        <v>0</v>
      </c>
      <c r="AW61" s="22" t="n">
        <v>0</v>
      </c>
      <c r="AX61" s="22" t="n">
        <v>0</v>
      </c>
      <c r="AY61" s="22" t="s">
        <v>160</v>
      </c>
      <c r="AZ61" s="22" t="s">
        <v>139</v>
      </c>
    </row>
    <row r="62" customFormat="false" ht="14.25" hidden="false" customHeight="false" outlineLevel="0" collapsed="false">
      <c r="B62" s="22" t="n">
        <v>102</v>
      </c>
      <c r="C62" s="22" t="s">
        <v>557</v>
      </c>
      <c r="D62" s="22" t="s">
        <v>16</v>
      </c>
      <c r="E62" s="22" t="s">
        <v>21</v>
      </c>
      <c r="F62" s="22" t="n">
        <v>50000587</v>
      </c>
      <c r="G62" s="22" t="s">
        <v>120</v>
      </c>
      <c r="H62" s="22" t="s">
        <v>207</v>
      </c>
      <c r="I62" s="22" t="s">
        <v>122</v>
      </c>
      <c r="J62" s="22" t="s">
        <v>462</v>
      </c>
      <c r="K62" s="22" t="s">
        <v>462</v>
      </c>
      <c r="L62" s="22" t="s">
        <v>22</v>
      </c>
      <c r="M62" s="22" t="s">
        <v>153</v>
      </c>
      <c r="N62" s="22" t="s">
        <v>558</v>
      </c>
      <c r="O62" s="22" t="n">
        <v>351</v>
      </c>
      <c r="P62" s="22" t="n">
        <v>467</v>
      </c>
      <c r="Q62" s="22" t="s">
        <v>165</v>
      </c>
      <c r="R62" s="22" t="s">
        <v>559</v>
      </c>
      <c r="S62" s="22" t="n">
        <v>533101</v>
      </c>
      <c r="T62" s="22" t="n">
        <v>18.112874</v>
      </c>
      <c r="U62" s="22" t="n">
        <v>81.775809</v>
      </c>
      <c r="V62" s="22" t="s">
        <v>129</v>
      </c>
      <c r="W62" s="22" t="n">
        <v>2013</v>
      </c>
      <c r="X62" s="23" t="n">
        <v>41405</v>
      </c>
      <c r="Y62" s="22" t="n">
        <v>2376</v>
      </c>
      <c r="Z62" s="22" t="n">
        <v>2376</v>
      </c>
      <c r="AA62" s="22" t="s">
        <v>23</v>
      </c>
      <c r="AB62" s="22" t="s">
        <v>467</v>
      </c>
      <c r="AC62" s="22" t="s">
        <v>468</v>
      </c>
      <c r="AD62" s="22" t="s">
        <v>469</v>
      </c>
      <c r="AE62" s="22" t="s">
        <v>560</v>
      </c>
      <c r="AF62" s="22" t="s">
        <v>561</v>
      </c>
      <c r="AG62" s="22" t="s">
        <v>562</v>
      </c>
      <c r="AH62" s="22" t="s">
        <v>230</v>
      </c>
      <c r="AI62" s="22" t="s">
        <v>314</v>
      </c>
      <c r="AJ62" s="22" t="n">
        <v>37</v>
      </c>
      <c r="AK62" s="22" t="n">
        <v>2</v>
      </c>
      <c r="AL62" s="22" t="n">
        <v>2</v>
      </c>
      <c r="AM62" s="22" t="n">
        <f aca="false">AL62+AK62+AJ62</f>
        <v>41</v>
      </c>
      <c r="AN62" s="25" t="n">
        <v>41</v>
      </c>
      <c r="AO62" s="25" t="n">
        <v>30</v>
      </c>
      <c r="AP62" s="22" t="n">
        <f aca="false">AN62+AO62</f>
        <v>71</v>
      </c>
      <c r="AQ62" s="22" t="n">
        <v>1</v>
      </c>
      <c r="AR62" s="22" t="n">
        <v>1</v>
      </c>
      <c r="AS62" s="22" t="n">
        <v>0</v>
      </c>
      <c r="AT62" s="22" t="n">
        <v>1</v>
      </c>
      <c r="AU62" s="22" t="n">
        <v>1</v>
      </c>
      <c r="AV62" s="22" t="n">
        <v>0</v>
      </c>
      <c r="AW62" s="22" t="n">
        <v>2</v>
      </c>
      <c r="AX62" s="22" t="n">
        <v>0</v>
      </c>
      <c r="AY62" s="22" t="s">
        <v>160</v>
      </c>
      <c r="AZ62" s="22" t="s">
        <v>139</v>
      </c>
    </row>
    <row r="63" customFormat="false" ht="14.25" hidden="false" customHeight="false" outlineLevel="0" collapsed="false">
      <c r="B63" s="22" t="n">
        <v>103</v>
      </c>
      <c r="C63" s="22" t="s">
        <v>563</v>
      </c>
      <c r="D63" s="22" t="s">
        <v>16</v>
      </c>
      <c r="E63" s="22" t="s">
        <v>21</v>
      </c>
      <c r="F63" s="22" t="n">
        <v>11200056</v>
      </c>
      <c r="G63" s="22" t="s">
        <v>162</v>
      </c>
      <c r="H63" s="22" t="s">
        <v>163</v>
      </c>
      <c r="I63" s="22" t="s">
        <v>122</v>
      </c>
      <c r="J63" s="22" t="s">
        <v>462</v>
      </c>
      <c r="K63" s="22" t="s">
        <v>462</v>
      </c>
      <c r="L63" s="22" t="s">
        <v>22</v>
      </c>
      <c r="M63" s="22" t="s">
        <v>153</v>
      </c>
      <c r="N63" s="22" t="s">
        <v>558</v>
      </c>
      <c r="O63" s="22" t="n">
        <v>351</v>
      </c>
      <c r="P63" s="22" t="n">
        <v>4671</v>
      </c>
      <c r="Q63" s="22" t="s">
        <v>225</v>
      </c>
      <c r="R63" s="22" t="s">
        <v>564</v>
      </c>
      <c r="S63" s="22" t="n">
        <v>533101</v>
      </c>
      <c r="T63" s="22" t="n">
        <v>17.924729</v>
      </c>
      <c r="U63" s="22" t="n">
        <v>81.775809</v>
      </c>
      <c r="V63" s="22" t="s">
        <v>129</v>
      </c>
      <c r="W63" s="22" t="n">
        <v>2013</v>
      </c>
      <c r="X63" s="23" t="n">
        <v>41447</v>
      </c>
      <c r="Y63" s="22" t="n">
        <v>1373</v>
      </c>
      <c r="Z63" s="22" t="n">
        <v>1373</v>
      </c>
      <c r="AA63" s="22" t="s">
        <v>23</v>
      </c>
      <c r="AB63" s="22" t="s">
        <v>467</v>
      </c>
      <c r="AC63" s="22" t="s">
        <v>468</v>
      </c>
      <c r="AD63" s="22" t="s">
        <v>469</v>
      </c>
      <c r="AE63" s="22" t="s">
        <v>560</v>
      </c>
      <c r="AF63" s="22" t="s">
        <v>561</v>
      </c>
      <c r="AG63" s="22" t="s">
        <v>562</v>
      </c>
      <c r="AH63" s="22" t="s">
        <v>230</v>
      </c>
      <c r="AI63" s="22" t="s">
        <v>314</v>
      </c>
      <c r="AJ63" s="22" t="n">
        <v>28</v>
      </c>
      <c r="AK63" s="22" t="n">
        <v>0</v>
      </c>
      <c r="AL63" s="22" t="n">
        <v>0</v>
      </c>
      <c r="AM63" s="22" t="n">
        <f aca="false">AL63+AK63+AJ63</f>
        <v>28</v>
      </c>
      <c r="AN63" s="25" t="n">
        <v>66</v>
      </c>
      <c r="AO63" s="25" t="n">
        <v>25</v>
      </c>
      <c r="AP63" s="22" t="n">
        <f aca="false">AN63+AO63</f>
        <v>91</v>
      </c>
      <c r="AQ63" s="22" t="n">
        <v>1</v>
      </c>
      <c r="AR63" s="22" t="n">
        <v>1</v>
      </c>
      <c r="AS63" s="22" t="n">
        <v>0</v>
      </c>
      <c r="AT63" s="22" t="n">
        <v>0</v>
      </c>
      <c r="AU63" s="22" t="n">
        <v>1</v>
      </c>
      <c r="AV63" s="22" t="n">
        <v>0</v>
      </c>
      <c r="AW63" s="22" t="n">
        <v>0</v>
      </c>
      <c r="AX63" s="22" t="n">
        <v>0</v>
      </c>
      <c r="AY63" s="22" t="s">
        <v>160</v>
      </c>
      <c r="AZ63" s="22" t="s">
        <v>139</v>
      </c>
    </row>
    <row r="64" customFormat="false" ht="15" hidden="false" customHeight="false" outlineLevel="0" collapsed="false">
      <c r="B64" s="22" t="n">
        <v>104</v>
      </c>
      <c r="C64" s="22" t="s">
        <v>565</v>
      </c>
      <c r="D64" s="22" t="s">
        <v>16</v>
      </c>
      <c r="E64" s="22" t="s">
        <v>21</v>
      </c>
      <c r="F64" s="22" t="n">
        <v>50001084</v>
      </c>
      <c r="G64" s="22" t="s">
        <v>120</v>
      </c>
      <c r="H64" s="22" t="s">
        <v>121</v>
      </c>
      <c r="I64" s="22" t="s">
        <v>510</v>
      </c>
      <c r="J64" s="22" t="s">
        <v>502</v>
      </c>
      <c r="K64" s="22" t="s">
        <v>502</v>
      </c>
      <c r="L64" s="22" t="s">
        <v>22</v>
      </c>
      <c r="M64" s="22" t="s">
        <v>124</v>
      </c>
      <c r="N64" s="22" t="s">
        <v>566</v>
      </c>
      <c r="O64" s="22" t="n">
        <v>2645</v>
      </c>
      <c r="P64" s="22" t="s">
        <v>567</v>
      </c>
      <c r="Q64" s="22" t="s">
        <v>127</v>
      </c>
      <c r="R64" s="22" t="s">
        <v>568</v>
      </c>
      <c r="S64" s="22" t="n">
        <v>532127</v>
      </c>
      <c r="T64" s="22" t="n">
        <v>18.449201</v>
      </c>
      <c r="U64" s="22" t="n">
        <v>83.663354</v>
      </c>
      <c r="V64" s="22" t="s">
        <v>129</v>
      </c>
      <c r="W64" s="22" t="n">
        <v>2017</v>
      </c>
      <c r="X64" s="23" t="n">
        <v>42870</v>
      </c>
      <c r="Y64" s="22" t="n">
        <v>1600</v>
      </c>
      <c r="Z64" s="22" t="n">
        <v>1600</v>
      </c>
      <c r="AA64" s="22" t="s">
        <v>23</v>
      </c>
      <c r="AB64" s="22" t="s">
        <v>467</v>
      </c>
      <c r="AC64" s="22" t="s">
        <v>468</v>
      </c>
      <c r="AD64" s="22" t="s">
        <v>469</v>
      </c>
      <c r="AE64" s="22" t="s">
        <v>569</v>
      </c>
      <c r="AF64" s="22" t="s">
        <v>570</v>
      </c>
      <c r="AG64" s="26" t="s">
        <v>571</v>
      </c>
      <c r="AH64" s="22" t="s">
        <v>473</v>
      </c>
      <c r="AI64" s="22" t="s">
        <v>137</v>
      </c>
      <c r="AJ64" s="22" t="n">
        <v>22</v>
      </c>
      <c r="AK64" s="22" t="n">
        <v>1</v>
      </c>
      <c r="AL64" s="22" t="n">
        <v>1</v>
      </c>
      <c r="AM64" s="22" t="n">
        <f aca="false">AL64+AK64+AJ64</f>
        <v>24</v>
      </c>
      <c r="AN64" s="25" t="n">
        <v>18</v>
      </c>
      <c r="AO64" s="25" t="n">
        <v>6</v>
      </c>
      <c r="AP64" s="22" t="n">
        <f aca="false">AN64+AO64</f>
        <v>24</v>
      </c>
      <c r="AQ64" s="22" t="n">
        <v>1</v>
      </c>
      <c r="AR64" s="22" t="n">
        <v>0</v>
      </c>
      <c r="AS64" s="22" t="n">
        <v>0</v>
      </c>
      <c r="AT64" s="22" t="n">
        <v>0</v>
      </c>
      <c r="AU64" s="22" t="n">
        <v>1</v>
      </c>
      <c r="AV64" s="22" t="n">
        <v>0</v>
      </c>
      <c r="AW64" s="22" t="n">
        <v>0</v>
      </c>
      <c r="AX64" s="22" t="n">
        <v>0</v>
      </c>
      <c r="AY64" s="22" t="s">
        <v>160</v>
      </c>
      <c r="AZ64" s="22" t="s">
        <v>139</v>
      </c>
    </row>
    <row r="65" customFormat="false" ht="14.25" hidden="false" customHeight="false" outlineLevel="0" collapsed="false">
      <c r="B65" s="22" t="n">
        <v>105</v>
      </c>
      <c r="C65" s="22" t="s">
        <v>572</v>
      </c>
      <c r="D65" s="22" t="s">
        <v>16</v>
      </c>
      <c r="E65" s="22" t="s">
        <v>21</v>
      </c>
      <c r="F65" s="22" t="n">
        <v>50002019</v>
      </c>
      <c r="G65" s="22" t="s">
        <v>120</v>
      </c>
      <c r="H65" s="22" t="s">
        <v>533</v>
      </c>
      <c r="I65" s="22" t="s">
        <v>122</v>
      </c>
      <c r="J65" s="22" t="s">
        <v>573</v>
      </c>
      <c r="K65" s="22" t="s">
        <v>549</v>
      </c>
      <c r="L65" s="22" t="s">
        <v>22</v>
      </c>
      <c r="M65" s="22" t="s">
        <v>153</v>
      </c>
      <c r="N65" s="22" t="s">
        <v>574</v>
      </c>
      <c r="O65" s="22" t="n">
        <v>8664</v>
      </c>
      <c r="P65" s="22" t="s">
        <v>575</v>
      </c>
      <c r="Q65" s="22" t="s">
        <v>127</v>
      </c>
      <c r="R65" s="22" t="s">
        <v>576</v>
      </c>
      <c r="S65" s="22" t="n">
        <v>535145</v>
      </c>
      <c r="T65" s="22" t="n">
        <v>18.112874</v>
      </c>
      <c r="U65" s="22" t="n">
        <v>83.138943</v>
      </c>
      <c r="V65" s="22" t="s">
        <v>129</v>
      </c>
      <c r="W65" s="22" t="n">
        <v>2020</v>
      </c>
      <c r="X65" s="23" t="n">
        <v>43983</v>
      </c>
      <c r="Y65" s="22" t="n">
        <v>1672</v>
      </c>
      <c r="Z65" s="22" t="n">
        <v>1672</v>
      </c>
      <c r="AA65" s="22" t="s">
        <v>23</v>
      </c>
      <c r="AB65" s="22" t="s">
        <v>467</v>
      </c>
      <c r="AC65" s="22" t="s">
        <v>468</v>
      </c>
      <c r="AD65" s="22" t="s">
        <v>469</v>
      </c>
      <c r="AE65" s="22" t="s">
        <v>577</v>
      </c>
      <c r="AF65" s="22" t="s">
        <v>578</v>
      </c>
      <c r="AG65" s="22" t="s">
        <v>579</v>
      </c>
      <c r="AH65" s="22" t="s">
        <v>473</v>
      </c>
      <c r="AI65" s="22" t="s">
        <v>137</v>
      </c>
      <c r="AJ65" s="22" t="n">
        <v>10</v>
      </c>
      <c r="AK65" s="22" t="n">
        <v>2</v>
      </c>
      <c r="AL65" s="22" t="n">
        <v>2</v>
      </c>
      <c r="AM65" s="22" t="n">
        <f aca="false">AL65+AK65+AJ65</f>
        <v>14</v>
      </c>
      <c r="AN65" s="25" t="n">
        <v>3</v>
      </c>
      <c r="AO65" s="25" t="n">
        <v>1</v>
      </c>
      <c r="AP65" s="22" t="n">
        <f aca="false">AN65+AO65</f>
        <v>4</v>
      </c>
      <c r="AQ65" s="22" t="n">
        <v>1</v>
      </c>
      <c r="AR65" s="22" t="n">
        <v>1</v>
      </c>
      <c r="AS65" s="22" t="n">
        <v>0</v>
      </c>
      <c r="AT65" s="22" t="n">
        <v>0</v>
      </c>
      <c r="AU65" s="22" t="n">
        <v>1</v>
      </c>
      <c r="AV65" s="22" t="n">
        <v>0</v>
      </c>
      <c r="AW65" s="22" t="n">
        <v>0</v>
      </c>
      <c r="AX65" s="22" t="n">
        <v>0</v>
      </c>
      <c r="AY65" s="22" t="s">
        <v>138</v>
      </c>
      <c r="AZ65" s="22" t="s">
        <v>139</v>
      </c>
    </row>
    <row r="66" customFormat="false" ht="14.25" hidden="false" customHeight="false" outlineLevel="0" collapsed="false">
      <c r="B66" s="22" t="n">
        <v>106</v>
      </c>
      <c r="C66" s="22" t="s">
        <v>580</v>
      </c>
      <c r="D66" s="22" t="s">
        <v>16</v>
      </c>
      <c r="E66" s="22" t="s">
        <v>21</v>
      </c>
      <c r="F66" s="22" t="n">
        <v>50000634</v>
      </c>
      <c r="G66" s="22" t="s">
        <v>120</v>
      </c>
      <c r="H66" s="22" t="s">
        <v>141</v>
      </c>
      <c r="I66" s="22" t="s">
        <v>122</v>
      </c>
      <c r="J66" s="22" t="s">
        <v>462</v>
      </c>
      <c r="K66" s="22" t="s">
        <v>462</v>
      </c>
      <c r="L66" s="22" t="s">
        <v>22</v>
      </c>
      <c r="M66" s="22" t="s">
        <v>124</v>
      </c>
      <c r="N66" s="22" t="s">
        <v>581</v>
      </c>
      <c r="O66" s="22" t="n">
        <v>1175</v>
      </c>
      <c r="P66" s="22" t="s">
        <v>582</v>
      </c>
      <c r="Q66" s="22" t="s">
        <v>583</v>
      </c>
      <c r="R66" s="22" t="s">
        <v>584</v>
      </c>
      <c r="S66" s="22" t="n">
        <v>533440</v>
      </c>
      <c r="T66" s="22" t="n">
        <v>17.054249</v>
      </c>
      <c r="U66" s="22" t="n">
        <v>82.166562</v>
      </c>
      <c r="V66" s="22" t="s">
        <v>129</v>
      </c>
      <c r="W66" s="22" t="n">
        <v>2018</v>
      </c>
      <c r="X66" s="23" t="n">
        <v>43191</v>
      </c>
      <c r="Y66" s="22" t="n">
        <v>1614</v>
      </c>
      <c r="Z66" s="22" t="n">
        <v>1614</v>
      </c>
      <c r="AA66" s="22" t="s">
        <v>23</v>
      </c>
      <c r="AB66" s="22" t="s">
        <v>467</v>
      </c>
      <c r="AC66" s="22" t="s">
        <v>468</v>
      </c>
      <c r="AD66" s="22" t="s">
        <v>469</v>
      </c>
      <c r="AE66" s="22" t="s">
        <v>585</v>
      </c>
      <c r="AF66" s="22" t="s">
        <v>586</v>
      </c>
      <c r="AG66" s="22" t="s">
        <v>587</v>
      </c>
      <c r="AH66" s="22" t="s">
        <v>473</v>
      </c>
      <c r="AI66" s="22" t="s">
        <v>314</v>
      </c>
      <c r="AJ66" s="22" t="n">
        <v>23</v>
      </c>
      <c r="AK66" s="22" t="n">
        <v>2</v>
      </c>
      <c r="AL66" s="22" t="n">
        <v>0</v>
      </c>
      <c r="AM66" s="22" t="n">
        <f aca="false">AL66+AK66+AJ66</f>
        <v>25</v>
      </c>
      <c r="AN66" s="25" t="n">
        <v>20</v>
      </c>
      <c r="AO66" s="25" t="n">
        <v>6</v>
      </c>
      <c r="AP66" s="22" t="n">
        <f aca="false">AN66+AO66</f>
        <v>26</v>
      </c>
      <c r="AQ66" s="22" t="n">
        <v>1</v>
      </c>
      <c r="AR66" s="22" t="n">
        <v>1</v>
      </c>
      <c r="AS66" s="22" t="n">
        <v>0</v>
      </c>
      <c r="AT66" s="22" t="n">
        <v>0</v>
      </c>
      <c r="AU66" s="22" t="n">
        <v>1</v>
      </c>
      <c r="AV66" s="22" t="n">
        <v>0</v>
      </c>
      <c r="AW66" s="22" t="n">
        <v>0</v>
      </c>
      <c r="AX66" s="22" t="n">
        <v>0</v>
      </c>
      <c r="AY66" s="22" t="s">
        <v>160</v>
      </c>
      <c r="AZ66" s="22" t="s">
        <v>139</v>
      </c>
    </row>
    <row r="67" customFormat="false" ht="14.25" hidden="false" customHeight="false" outlineLevel="0" collapsed="false">
      <c r="B67" s="22" t="n">
        <v>107</v>
      </c>
      <c r="C67" s="22" t="s">
        <v>502</v>
      </c>
      <c r="D67" s="22" t="s">
        <v>16</v>
      </c>
      <c r="E67" s="22" t="s">
        <v>21</v>
      </c>
      <c r="F67" s="22" t="n">
        <v>50000703</v>
      </c>
      <c r="G67" s="22" t="s">
        <v>120</v>
      </c>
      <c r="H67" s="22" t="s">
        <v>152</v>
      </c>
      <c r="I67" s="22" t="s">
        <v>122</v>
      </c>
      <c r="J67" s="22" t="s">
        <v>502</v>
      </c>
      <c r="K67" s="22" t="s">
        <v>502</v>
      </c>
      <c r="L67" s="22" t="s">
        <v>22</v>
      </c>
      <c r="M67" s="22" t="s">
        <v>153</v>
      </c>
      <c r="N67" s="22" t="s">
        <v>588</v>
      </c>
      <c r="O67" s="22" t="n">
        <v>120</v>
      </c>
      <c r="P67" s="22" t="n">
        <v>525</v>
      </c>
      <c r="Q67" s="22" t="s">
        <v>127</v>
      </c>
      <c r="R67" s="22" t="s">
        <v>589</v>
      </c>
      <c r="S67" s="22" t="n">
        <v>532001</v>
      </c>
      <c r="T67" s="22" t="n">
        <v>18.2969</v>
      </c>
      <c r="U67" s="22" t="n">
        <v>83.903492</v>
      </c>
      <c r="V67" s="22" t="s">
        <v>129</v>
      </c>
      <c r="W67" s="22" t="n">
        <v>2016</v>
      </c>
      <c r="X67" s="23" t="n">
        <v>42491</v>
      </c>
      <c r="Y67" s="22" t="n">
        <v>1590</v>
      </c>
      <c r="Z67" s="22" t="n">
        <v>1800</v>
      </c>
      <c r="AA67" s="22" t="s">
        <v>23</v>
      </c>
      <c r="AB67" s="22" t="s">
        <v>467</v>
      </c>
      <c r="AC67" s="22" t="s">
        <v>468</v>
      </c>
      <c r="AD67" s="22" t="s">
        <v>469</v>
      </c>
      <c r="AE67" s="22" t="s">
        <v>590</v>
      </c>
      <c r="AF67" s="22" t="s">
        <v>591</v>
      </c>
      <c r="AG67" s="22" t="s">
        <v>592</v>
      </c>
      <c r="AH67" s="22" t="s">
        <v>473</v>
      </c>
      <c r="AI67" s="22" t="s">
        <v>137</v>
      </c>
      <c r="AJ67" s="22" t="n">
        <v>29</v>
      </c>
      <c r="AK67" s="22" t="n">
        <v>2</v>
      </c>
      <c r="AL67" s="22" t="n">
        <v>1</v>
      </c>
      <c r="AM67" s="22" t="n">
        <f aca="false">AL67+AK67+AJ67</f>
        <v>32</v>
      </c>
      <c r="AN67" s="25" t="n">
        <v>38</v>
      </c>
      <c r="AO67" s="25" t="n">
        <v>9</v>
      </c>
      <c r="AP67" s="22" t="n">
        <f aca="false">AN67+AO67</f>
        <v>47</v>
      </c>
      <c r="AQ67" s="22" t="n">
        <v>1</v>
      </c>
      <c r="AR67" s="22" t="n">
        <v>1</v>
      </c>
      <c r="AS67" s="22" t="n">
        <v>0</v>
      </c>
      <c r="AT67" s="22" t="n">
        <v>0</v>
      </c>
      <c r="AU67" s="22" t="n">
        <v>1</v>
      </c>
      <c r="AV67" s="22" t="n">
        <v>0</v>
      </c>
      <c r="AW67" s="22" t="n">
        <v>0</v>
      </c>
      <c r="AX67" s="22" t="n">
        <v>0</v>
      </c>
      <c r="AY67" s="22" t="s">
        <v>160</v>
      </c>
      <c r="AZ67" s="22" t="s">
        <v>139</v>
      </c>
    </row>
    <row r="68" customFormat="false" ht="14.25" hidden="false" customHeight="false" outlineLevel="0" collapsed="false">
      <c r="B68" s="22" t="n">
        <v>108</v>
      </c>
      <c r="C68" s="22" t="s">
        <v>593</v>
      </c>
      <c r="D68" s="22" t="s">
        <v>16</v>
      </c>
      <c r="E68" s="22" t="s">
        <v>21</v>
      </c>
      <c r="F68" s="22" t="n">
        <v>50005211</v>
      </c>
      <c r="G68" s="22" t="s">
        <v>120</v>
      </c>
      <c r="H68" s="22" t="s">
        <v>525</v>
      </c>
      <c r="I68" s="22" t="s">
        <v>122</v>
      </c>
      <c r="J68" s="22" t="s">
        <v>475</v>
      </c>
      <c r="K68" s="22" t="s">
        <v>475</v>
      </c>
      <c r="L68" s="22" t="s">
        <v>22</v>
      </c>
      <c r="M68" s="22" t="s">
        <v>124</v>
      </c>
      <c r="N68" s="22" t="s">
        <v>594</v>
      </c>
      <c r="O68" s="22" t="n">
        <v>12191</v>
      </c>
      <c r="P68" s="22" t="s">
        <v>595</v>
      </c>
      <c r="Q68" s="22" t="s">
        <v>165</v>
      </c>
      <c r="R68" s="22" t="s">
        <v>596</v>
      </c>
      <c r="S68" s="22" t="n">
        <v>531163</v>
      </c>
      <c r="T68" s="22" t="n">
        <v>17.924729</v>
      </c>
      <c r="U68" s="22" t="n">
        <v>83.421364</v>
      </c>
      <c r="V68" s="22" t="s">
        <v>129</v>
      </c>
      <c r="W68" s="22" t="n">
        <v>2023</v>
      </c>
      <c r="X68" s="23" t="n">
        <v>45261</v>
      </c>
      <c r="Y68" s="22" t="n">
        <v>2500</v>
      </c>
      <c r="Z68" s="22" t="n">
        <v>2500</v>
      </c>
      <c r="AA68" s="22" t="s">
        <v>23</v>
      </c>
      <c r="AB68" s="22" t="s">
        <v>467</v>
      </c>
      <c r="AC68" s="22" t="s">
        <v>468</v>
      </c>
      <c r="AD68" s="22" t="s">
        <v>469</v>
      </c>
      <c r="AE68" s="22" t="s">
        <v>597</v>
      </c>
      <c r="AF68" s="22" t="s">
        <v>598</v>
      </c>
      <c r="AG68" s="22" t="s">
        <v>599</v>
      </c>
      <c r="AH68" s="22" t="s">
        <v>473</v>
      </c>
      <c r="AI68" s="22" t="s">
        <v>137</v>
      </c>
      <c r="AJ68" s="22" t="n">
        <v>6</v>
      </c>
      <c r="AK68" s="22" t="n">
        <v>1</v>
      </c>
      <c r="AL68" s="22" t="n">
        <v>0</v>
      </c>
      <c r="AM68" s="22" t="n">
        <f aca="false">AL68+AK68+AJ68</f>
        <v>7</v>
      </c>
      <c r="AN68" s="25" t="n">
        <v>7</v>
      </c>
      <c r="AO68" s="25" t="n">
        <v>1</v>
      </c>
      <c r="AP68" s="22" t="n">
        <f aca="false">AN68+AO68</f>
        <v>8</v>
      </c>
      <c r="AQ68" s="22" t="n">
        <v>1</v>
      </c>
      <c r="AR68" s="22" t="n">
        <v>1</v>
      </c>
      <c r="AS68" s="22" t="n">
        <v>0</v>
      </c>
      <c r="AT68" s="22" t="n">
        <v>0</v>
      </c>
      <c r="AU68" s="22" t="n">
        <v>0</v>
      </c>
      <c r="AV68" s="22" t="n">
        <v>1</v>
      </c>
      <c r="AW68" s="22" t="n">
        <v>0</v>
      </c>
      <c r="AX68" s="22" t="n">
        <v>0</v>
      </c>
      <c r="AY68" s="22" t="s">
        <v>138</v>
      </c>
      <c r="AZ68" s="22" t="s">
        <v>600</v>
      </c>
    </row>
    <row r="69" customFormat="false" ht="14.25" hidden="false" customHeight="false" outlineLevel="0" collapsed="false">
      <c r="B69" s="22" t="n">
        <v>109</v>
      </c>
      <c r="C69" s="22" t="s">
        <v>601</v>
      </c>
      <c r="D69" s="22" t="s">
        <v>16</v>
      </c>
      <c r="E69" s="22" t="s">
        <v>21</v>
      </c>
      <c r="F69" s="22" t="n">
        <v>50000721</v>
      </c>
      <c r="G69" s="22" t="s">
        <v>120</v>
      </c>
      <c r="H69" s="22" t="s">
        <v>121</v>
      </c>
      <c r="I69" s="22" t="s">
        <v>122</v>
      </c>
      <c r="J69" s="22" t="s">
        <v>601</v>
      </c>
      <c r="K69" s="22" t="s">
        <v>484</v>
      </c>
      <c r="L69" s="22" t="s">
        <v>22</v>
      </c>
      <c r="M69" s="22" t="s">
        <v>124</v>
      </c>
      <c r="N69" s="22" t="s">
        <v>602</v>
      </c>
      <c r="O69" s="22" t="n">
        <v>907</v>
      </c>
      <c r="P69" s="22" t="s">
        <v>603</v>
      </c>
      <c r="Q69" s="22" t="s">
        <v>127</v>
      </c>
      <c r="R69" s="22" t="s">
        <v>604</v>
      </c>
      <c r="S69" s="22" t="n">
        <v>534211</v>
      </c>
      <c r="T69" s="22" t="n">
        <v>16.749715</v>
      </c>
      <c r="U69" s="22" t="n">
        <v>81.683843</v>
      </c>
      <c r="V69" s="22" t="s">
        <v>129</v>
      </c>
      <c r="W69" s="22" t="n">
        <v>2016</v>
      </c>
      <c r="X69" s="23" t="n">
        <v>42526</v>
      </c>
      <c r="Y69" s="22" t="n">
        <v>1800</v>
      </c>
      <c r="Z69" s="22" t="n">
        <v>1800</v>
      </c>
      <c r="AA69" s="22" t="s">
        <v>23</v>
      </c>
      <c r="AB69" s="22" t="s">
        <v>467</v>
      </c>
      <c r="AC69" s="22" t="s">
        <v>468</v>
      </c>
      <c r="AD69" s="22" t="s">
        <v>469</v>
      </c>
      <c r="AE69" s="22" t="s">
        <v>605</v>
      </c>
      <c r="AF69" s="22" t="s">
        <v>606</v>
      </c>
      <c r="AG69" s="22" t="s">
        <v>607</v>
      </c>
      <c r="AH69" s="22" t="s">
        <v>473</v>
      </c>
      <c r="AI69" s="22" t="s">
        <v>137</v>
      </c>
      <c r="AJ69" s="22" t="n">
        <v>32</v>
      </c>
      <c r="AK69" s="22" t="n">
        <v>1</v>
      </c>
      <c r="AL69" s="22" t="n">
        <v>2</v>
      </c>
      <c r="AM69" s="22" t="n">
        <f aca="false">AL69+AK69+AJ69</f>
        <v>35</v>
      </c>
      <c r="AN69" s="24" t="n">
        <v>18</v>
      </c>
      <c r="AO69" s="24" t="n">
        <v>6</v>
      </c>
      <c r="AP69" s="22" t="n">
        <f aca="false">AN69+AO69</f>
        <v>24</v>
      </c>
      <c r="AQ69" s="22" t="n">
        <v>1</v>
      </c>
      <c r="AR69" s="22" t="n">
        <v>0</v>
      </c>
      <c r="AS69" s="22" t="n">
        <v>0</v>
      </c>
      <c r="AT69" s="22" t="n">
        <v>0</v>
      </c>
      <c r="AU69" s="22" t="n">
        <v>0</v>
      </c>
      <c r="AV69" s="22" t="n">
        <v>0</v>
      </c>
      <c r="AW69" s="22" t="n">
        <v>0</v>
      </c>
      <c r="AX69" s="22" t="n">
        <v>0</v>
      </c>
      <c r="AY69" s="22" t="s">
        <v>160</v>
      </c>
      <c r="AZ69" s="22" t="s">
        <v>139</v>
      </c>
    </row>
    <row r="70" customFormat="false" ht="14.25" hidden="false" customHeight="false" outlineLevel="0" collapsed="false">
      <c r="B70" s="22" t="n">
        <v>110</v>
      </c>
      <c r="C70" s="22" t="s">
        <v>608</v>
      </c>
      <c r="D70" s="22" t="s">
        <v>16</v>
      </c>
      <c r="E70" s="22" t="s">
        <v>21</v>
      </c>
      <c r="F70" s="22" t="n">
        <v>50000750</v>
      </c>
      <c r="G70" s="22" t="s">
        <v>120</v>
      </c>
      <c r="H70" s="22" t="s">
        <v>121</v>
      </c>
      <c r="I70" s="22" t="s">
        <v>122</v>
      </c>
      <c r="J70" s="22" t="s">
        <v>462</v>
      </c>
      <c r="K70" s="22" t="s">
        <v>462</v>
      </c>
      <c r="L70" s="22" t="s">
        <v>22</v>
      </c>
      <c r="M70" s="22" t="s">
        <v>124</v>
      </c>
      <c r="N70" s="22" t="s">
        <v>609</v>
      </c>
      <c r="O70" s="22" t="n">
        <v>906</v>
      </c>
      <c r="P70" s="22" t="s">
        <v>610</v>
      </c>
      <c r="Q70" s="22" t="s">
        <v>127</v>
      </c>
      <c r="R70" s="22" t="s">
        <v>611</v>
      </c>
      <c r="S70" s="22" t="n">
        <v>533401</v>
      </c>
      <c r="T70" s="22" t="n">
        <v>17.357548</v>
      </c>
      <c r="U70" s="22" t="n">
        <v>82.54483</v>
      </c>
      <c r="V70" s="22" t="s">
        <v>129</v>
      </c>
      <c r="W70" s="22" t="n">
        <v>2016</v>
      </c>
      <c r="X70" s="23" t="n">
        <v>42522</v>
      </c>
      <c r="Y70" s="22" t="n">
        <v>1444</v>
      </c>
      <c r="Z70" s="22" t="n">
        <v>1444</v>
      </c>
      <c r="AA70" s="22" t="s">
        <v>23</v>
      </c>
      <c r="AB70" s="22" t="s">
        <v>467</v>
      </c>
      <c r="AC70" s="22" t="s">
        <v>468</v>
      </c>
      <c r="AD70" s="22" t="s">
        <v>469</v>
      </c>
      <c r="AE70" s="22" t="s">
        <v>612</v>
      </c>
      <c r="AF70" s="22" t="s">
        <v>613</v>
      </c>
      <c r="AG70" s="22" t="s">
        <v>614</v>
      </c>
      <c r="AH70" s="22" t="s">
        <v>473</v>
      </c>
      <c r="AI70" s="22" t="s">
        <v>137</v>
      </c>
      <c r="AJ70" s="22" t="n">
        <v>9</v>
      </c>
      <c r="AK70" s="22" t="n">
        <v>1</v>
      </c>
      <c r="AL70" s="22" t="n">
        <v>1</v>
      </c>
      <c r="AM70" s="22" t="n">
        <f aca="false">AL70+AK70+AJ70</f>
        <v>11</v>
      </c>
      <c r="AN70" s="25" t="n">
        <v>13</v>
      </c>
      <c r="AO70" s="25" t="n">
        <v>5</v>
      </c>
      <c r="AP70" s="22" t="n">
        <f aca="false">AN70+AO70</f>
        <v>18</v>
      </c>
      <c r="AQ70" s="22" t="n">
        <v>1</v>
      </c>
      <c r="AR70" s="22" t="n">
        <v>0</v>
      </c>
      <c r="AS70" s="22" t="n">
        <v>0</v>
      </c>
      <c r="AT70" s="22" t="n">
        <v>0</v>
      </c>
      <c r="AU70" s="22" t="n">
        <v>1</v>
      </c>
      <c r="AV70" s="22" t="n">
        <v>0</v>
      </c>
      <c r="AW70" s="22" t="n">
        <v>0</v>
      </c>
      <c r="AX70" s="22" t="n">
        <v>0</v>
      </c>
      <c r="AY70" s="22" t="s">
        <v>160</v>
      </c>
      <c r="AZ70" s="22" t="s">
        <v>139</v>
      </c>
    </row>
    <row r="71" customFormat="false" ht="14.25" hidden="false" customHeight="false" outlineLevel="0" collapsed="false">
      <c r="B71" s="22" t="n">
        <v>111</v>
      </c>
      <c r="C71" s="22" t="s">
        <v>615</v>
      </c>
      <c r="D71" s="22" t="s">
        <v>16</v>
      </c>
      <c r="E71" s="22" t="s">
        <v>21</v>
      </c>
      <c r="F71" s="22" t="n">
        <v>50000799</v>
      </c>
      <c r="G71" s="22" t="s">
        <v>120</v>
      </c>
      <c r="H71" s="22" t="s">
        <v>121</v>
      </c>
      <c r="I71" s="22" t="s">
        <v>122</v>
      </c>
      <c r="J71" s="22" t="s">
        <v>615</v>
      </c>
      <c r="K71" s="22" t="s">
        <v>66</v>
      </c>
      <c r="L71" s="22" t="s">
        <v>66</v>
      </c>
      <c r="M71" s="22" t="s">
        <v>124</v>
      </c>
      <c r="N71" s="22" t="s">
        <v>616</v>
      </c>
      <c r="O71" s="22" t="n">
        <v>1176</v>
      </c>
      <c r="P71" s="22" t="s">
        <v>617</v>
      </c>
      <c r="Q71" s="22" t="s">
        <v>127</v>
      </c>
      <c r="R71" s="22" t="s">
        <v>618</v>
      </c>
      <c r="S71" s="22" t="n">
        <v>533464</v>
      </c>
      <c r="T71" s="22" t="n">
        <v>16.737048</v>
      </c>
      <c r="U71" s="22" t="n">
        <v>82.214833</v>
      </c>
      <c r="V71" s="22" t="s">
        <v>129</v>
      </c>
      <c r="W71" s="22" t="n">
        <v>2019</v>
      </c>
      <c r="X71" s="23" t="n">
        <v>43617</v>
      </c>
      <c r="Y71" s="22" t="n">
        <v>1300</v>
      </c>
      <c r="Z71" s="22" t="n">
        <v>950</v>
      </c>
      <c r="AA71" s="22" t="s">
        <v>23</v>
      </c>
      <c r="AB71" s="22" t="s">
        <v>467</v>
      </c>
      <c r="AC71" s="22" t="s">
        <v>468</v>
      </c>
      <c r="AD71" s="22" t="s">
        <v>469</v>
      </c>
      <c r="AE71" s="22" t="s">
        <v>619</v>
      </c>
      <c r="AF71" s="22" t="s">
        <v>620</v>
      </c>
      <c r="AG71" s="22" t="s">
        <v>621</v>
      </c>
      <c r="AH71" s="22" t="s">
        <v>473</v>
      </c>
      <c r="AI71" s="22" t="s">
        <v>137</v>
      </c>
      <c r="AJ71" s="22" t="n">
        <v>12</v>
      </c>
      <c r="AK71" s="22" t="n">
        <v>1</v>
      </c>
      <c r="AL71" s="22" t="n">
        <v>1</v>
      </c>
      <c r="AM71" s="22" t="n">
        <f aca="false">AL71+AK71+AJ71</f>
        <v>14</v>
      </c>
      <c r="AN71" s="25" t="n">
        <v>9</v>
      </c>
      <c r="AO71" s="25" t="n">
        <v>2</v>
      </c>
      <c r="AP71" s="22" t="n">
        <f aca="false">AN71+AO71</f>
        <v>11</v>
      </c>
      <c r="AQ71" s="22" t="n">
        <v>0</v>
      </c>
      <c r="AR71" s="22" t="n">
        <v>0</v>
      </c>
      <c r="AS71" s="22" t="n">
        <v>1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s">
        <v>138</v>
      </c>
      <c r="AZ71" s="22" t="s">
        <v>139</v>
      </c>
    </row>
    <row r="72" customFormat="false" ht="14.25" hidden="false" customHeight="false" outlineLevel="0" collapsed="false">
      <c r="B72" s="22" t="n">
        <v>112</v>
      </c>
      <c r="C72" s="22" t="s">
        <v>622</v>
      </c>
      <c r="D72" s="22" t="s">
        <v>16</v>
      </c>
      <c r="E72" s="22" t="s">
        <v>21</v>
      </c>
      <c r="F72" s="22" t="n">
        <v>50000783</v>
      </c>
      <c r="G72" s="22" t="s">
        <v>120</v>
      </c>
      <c r="H72" s="22" t="s">
        <v>623</v>
      </c>
      <c r="I72" s="22" t="s">
        <v>510</v>
      </c>
      <c r="J72" s="22" t="s">
        <v>475</v>
      </c>
      <c r="K72" s="22" t="s">
        <v>475</v>
      </c>
      <c r="L72" s="22" t="s">
        <v>22</v>
      </c>
      <c r="M72" s="22" t="s">
        <v>153</v>
      </c>
      <c r="N72" s="22" t="s">
        <v>624</v>
      </c>
      <c r="O72" s="22" t="n">
        <v>326</v>
      </c>
      <c r="P72" s="22" t="n">
        <v>408</v>
      </c>
      <c r="Q72" s="22" t="s">
        <v>127</v>
      </c>
      <c r="R72" s="22" t="s">
        <v>625</v>
      </c>
      <c r="S72" s="22" t="n">
        <v>530013</v>
      </c>
      <c r="T72" s="22" t="n">
        <v>17.730732</v>
      </c>
      <c r="U72" s="22" t="n">
        <v>83.306992</v>
      </c>
      <c r="V72" s="22" t="s">
        <v>129</v>
      </c>
      <c r="W72" s="22" t="n">
        <v>2015</v>
      </c>
      <c r="X72" s="23" t="n">
        <v>42064</v>
      </c>
      <c r="Y72" s="22" t="n">
        <v>4800</v>
      </c>
      <c r="Z72" s="22" t="n">
        <v>5536</v>
      </c>
      <c r="AA72" s="22" t="s">
        <v>23</v>
      </c>
      <c r="AB72" s="22" t="s">
        <v>467</v>
      </c>
      <c r="AC72" s="22" t="s">
        <v>468</v>
      </c>
      <c r="AD72" s="22" t="s">
        <v>469</v>
      </c>
      <c r="AE72" s="22" t="s">
        <v>467</v>
      </c>
      <c r="AF72" s="22" t="s">
        <v>468</v>
      </c>
      <c r="AG72" s="22" t="s">
        <v>469</v>
      </c>
      <c r="AH72" s="22" t="s">
        <v>493</v>
      </c>
      <c r="AI72" s="22" t="s">
        <v>314</v>
      </c>
      <c r="AJ72" s="22" t="n">
        <v>57</v>
      </c>
      <c r="AK72" s="22" t="n">
        <v>8</v>
      </c>
      <c r="AL72" s="22" t="n">
        <v>9</v>
      </c>
      <c r="AM72" s="22" t="n">
        <f aca="false">AL72+AK72+AJ72</f>
        <v>74</v>
      </c>
      <c r="AN72" s="24" t="n">
        <v>60</v>
      </c>
      <c r="AO72" s="24" t="n">
        <v>4</v>
      </c>
      <c r="AP72" s="22" t="n">
        <f aca="false">AN72+AO72</f>
        <v>64</v>
      </c>
      <c r="AQ72" s="22" t="n">
        <v>2</v>
      </c>
      <c r="AR72" s="22" t="n">
        <v>1</v>
      </c>
      <c r="AS72" s="22" t="n">
        <v>0</v>
      </c>
      <c r="AT72" s="22" t="n">
        <v>0</v>
      </c>
      <c r="AU72" s="22" t="n">
        <v>3</v>
      </c>
      <c r="AV72" s="22" t="n">
        <v>1</v>
      </c>
      <c r="AW72" s="22" t="n">
        <v>3</v>
      </c>
      <c r="AX72" s="22" t="n">
        <v>0</v>
      </c>
      <c r="AY72" s="22" t="s">
        <v>160</v>
      </c>
      <c r="AZ72" s="22" t="s">
        <v>139</v>
      </c>
    </row>
    <row r="73" customFormat="false" ht="14.25" hidden="false" customHeight="false" outlineLevel="0" collapsed="false">
      <c r="B73" s="22" t="n">
        <v>113</v>
      </c>
      <c r="C73" s="22" t="s">
        <v>475</v>
      </c>
      <c r="D73" s="22" t="s">
        <v>16</v>
      </c>
      <c r="E73" s="22" t="s">
        <v>21</v>
      </c>
      <c r="F73" s="22" t="n">
        <v>50002121</v>
      </c>
      <c r="G73" s="22" t="s">
        <v>162</v>
      </c>
      <c r="H73" s="22" t="s">
        <v>163</v>
      </c>
      <c r="I73" s="22" t="s">
        <v>122</v>
      </c>
      <c r="J73" s="22" t="s">
        <v>475</v>
      </c>
      <c r="K73" s="22" t="s">
        <v>475</v>
      </c>
      <c r="L73" s="22" t="s">
        <v>22</v>
      </c>
      <c r="M73" s="22" t="s">
        <v>153</v>
      </c>
      <c r="N73" s="22" t="s">
        <v>626</v>
      </c>
      <c r="O73" s="22" t="n">
        <v>8772</v>
      </c>
      <c r="P73" s="22" t="s">
        <v>627</v>
      </c>
      <c r="Q73" s="22" t="s">
        <v>127</v>
      </c>
      <c r="R73" s="22" t="s">
        <v>628</v>
      </c>
      <c r="S73" s="22" t="n">
        <v>530024</v>
      </c>
      <c r="T73" s="22" t="n">
        <v>17.7400914</v>
      </c>
      <c r="U73" s="22" t="n">
        <v>83.298211</v>
      </c>
      <c r="V73" s="22" t="s">
        <v>129</v>
      </c>
      <c r="W73" s="22" t="n">
        <v>2019</v>
      </c>
      <c r="X73" s="23" t="n">
        <v>43739</v>
      </c>
      <c r="Y73" s="22" t="n">
        <v>5675</v>
      </c>
      <c r="Z73" s="22" t="n">
        <v>5950</v>
      </c>
      <c r="AA73" s="22" t="s">
        <v>23</v>
      </c>
      <c r="AB73" s="22" t="s">
        <v>467</v>
      </c>
      <c r="AC73" s="22" t="s">
        <v>468</v>
      </c>
      <c r="AD73" s="22" t="s">
        <v>469</v>
      </c>
      <c r="AE73" s="22" t="s">
        <v>467</v>
      </c>
      <c r="AF73" s="22" t="s">
        <v>468</v>
      </c>
      <c r="AG73" s="22" t="s">
        <v>469</v>
      </c>
      <c r="AH73" s="22" t="s">
        <v>493</v>
      </c>
      <c r="AI73" s="22" t="s">
        <v>314</v>
      </c>
      <c r="AJ73" s="22" t="n">
        <v>100</v>
      </c>
      <c r="AK73" s="22" t="n">
        <v>0</v>
      </c>
      <c r="AL73" s="22" t="n">
        <v>0</v>
      </c>
      <c r="AM73" s="22" t="n">
        <f aca="false">AL73+AK73+AJ73</f>
        <v>100</v>
      </c>
      <c r="AN73" s="24" t="n">
        <v>114</v>
      </c>
      <c r="AO73" s="24" t="n">
        <v>147</v>
      </c>
      <c r="AP73" s="22" t="n">
        <f aca="false">AN73+AO73</f>
        <v>261</v>
      </c>
      <c r="AQ73" s="22" t="n">
        <v>2</v>
      </c>
      <c r="AR73" s="22" t="n">
        <v>2</v>
      </c>
      <c r="AS73" s="22" t="n">
        <v>0</v>
      </c>
      <c r="AT73" s="22" t="n">
        <v>1</v>
      </c>
      <c r="AU73" s="22" t="n">
        <v>3</v>
      </c>
      <c r="AV73" s="22" t="n">
        <v>1</v>
      </c>
      <c r="AW73" s="22" t="n">
        <v>2</v>
      </c>
      <c r="AX73" s="22" t="n">
        <v>0</v>
      </c>
      <c r="AY73" s="22" t="s">
        <v>160</v>
      </c>
      <c r="AZ73" s="22" t="s">
        <v>629</v>
      </c>
    </row>
    <row r="74" customFormat="false" ht="14.25" hidden="false" customHeight="false" outlineLevel="0" collapsed="false">
      <c r="B74" s="22" t="n">
        <v>114</v>
      </c>
      <c r="C74" s="22" t="s">
        <v>630</v>
      </c>
      <c r="D74" s="22" t="s">
        <v>16</v>
      </c>
      <c r="E74" s="22" t="s">
        <v>21</v>
      </c>
      <c r="F74" s="22" t="n">
        <v>50007161</v>
      </c>
      <c r="G74" s="22" t="s">
        <v>162</v>
      </c>
      <c r="H74" s="22" t="s">
        <v>163</v>
      </c>
      <c r="I74" s="22" t="s">
        <v>122</v>
      </c>
      <c r="J74" s="22" t="s">
        <v>475</v>
      </c>
      <c r="K74" s="22" t="s">
        <v>475</v>
      </c>
      <c r="L74" s="22" t="s">
        <v>22</v>
      </c>
      <c r="M74" s="22" t="s">
        <v>153</v>
      </c>
      <c r="N74" s="22" t="s">
        <v>631</v>
      </c>
      <c r="O74" s="22" t="n">
        <v>8772</v>
      </c>
      <c r="P74" s="22" t="s">
        <v>632</v>
      </c>
      <c r="Q74" s="22" t="s">
        <v>583</v>
      </c>
      <c r="R74" s="22" t="s">
        <v>633</v>
      </c>
      <c r="S74" s="22" t="n">
        <v>530016</v>
      </c>
      <c r="T74" s="22" t="n">
        <v>17.740891</v>
      </c>
      <c r="U74" s="22" t="n">
        <v>83.297061</v>
      </c>
      <c r="V74" s="22" t="s">
        <v>129</v>
      </c>
      <c r="W74" s="22" t="n">
        <v>2024</v>
      </c>
      <c r="X74" s="23" t="n">
        <v>45323</v>
      </c>
      <c r="Y74" s="22" t="n">
        <v>2990</v>
      </c>
      <c r="Z74" s="22" t="n">
        <v>2990</v>
      </c>
      <c r="AA74" s="22" t="s">
        <v>23</v>
      </c>
      <c r="AB74" s="22" t="s">
        <v>467</v>
      </c>
      <c r="AC74" s="22" t="s">
        <v>468</v>
      </c>
      <c r="AD74" s="22" t="s">
        <v>469</v>
      </c>
      <c r="AE74" s="22" t="s">
        <v>467</v>
      </c>
      <c r="AF74" s="22" t="s">
        <v>468</v>
      </c>
      <c r="AG74" s="22" t="s">
        <v>469</v>
      </c>
      <c r="AH74" s="22" t="s">
        <v>493</v>
      </c>
      <c r="AI74" s="22" t="s">
        <v>314</v>
      </c>
      <c r="AJ74" s="22" t="n">
        <v>60</v>
      </c>
      <c r="AK74" s="22" t="n">
        <v>0</v>
      </c>
      <c r="AL74" s="22" t="n">
        <v>0</v>
      </c>
      <c r="AM74" s="22" t="n">
        <f aca="false">AL74+AK74+AJ74</f>
        <v>60</v>
      </c>
      <c r="AN74" s="24" t="n">
        <v>70</v>
      </c>
      <c r="AO74" s="24" t="n">
        <v>70</v>
      </c>
      <c r="AP74" s="22" t="n">
        <f aca="false">AN74+AO74</f>
        <v>140</v>
      </c>
      <c r="AQ74" s="22" t="n">
        <v>2</v>
      </c>
      <c r="AR74" s="22" t="n">
        <v>2</v>
      </c>
      <c r="AS74" s="22" t="n">
        <v>0</v>
      </c>
      <c r="AT74" s="22" t="n">
        <v>0</v>
      </c>
      <c r="AU74" s="22" t="n">
        <v>1</v>
      </c>
      <c r="AV74" s="22" t="n">
        <v>1</v>
      </c>
      <c r="AW74" s="22" t="n">
        <v>0</v>
      </c>
      <c r="AX74" s="22" t="n">
        <v>0</v>
      </c>
      <c r="AY74" s="22" t="s">
        <v>160</v>
      </c>
      <c r="AZ74" s="22" t="s">
        <v>139</v>
      </c>
    </row>
    <row r="75" customFormat="false" ht="14.25" hidden="false" customHeight="false" outlineLevel="0" collapsed="false">
      <c r="B75" s="22" t="n">
        <v>115</v>
      </c>
      <c r="C75" s="22" t="s">
        <v>634</v>
      </c>
      <c r="D75" s="22" t="s">
        <v>16</v>
      </c>
      <c r="E75" s="22" t="s">
        <v>21</v>
      </c>
      <c r="F75" s="22" t="n">
        <v>11200063</v>
      </c>
      <c r="G75" s="22" t="s">
        <v>162</v>
      </c>
      <c r="H75" s="22" t="s">
        <v>163</v>
      </c>
      <c r="I75" s="22" t="s">
        <v>122</v>
      </c>
      <c r="J75" s="22" t="s">
        <v>475</v>
      </c>
      <c r="K75" s="22" t="s">
        <v>475</v>
      </c>
      <c r="L75" s="22" t="s">
        <v>22</v>
      </c>
      <c r="M75" s="22" t="s">
        <v>153</v>
      </c>
      <c r="N75" s="22" t="s">
        <v>624</v>
      </c>
      <c r="O75" s="22" t="n">
        <v>326</v>
      </c>
      <c r="P75" s="22" t="n">
        <v>5350</v>
      </c>
      <c r="Q75" s="22" t="s">
        <v>165</v>
      </c>
      <c r="R75" s="22" t="s">
        <v>635</v>
      </c>
      <c r="S75" s="22" t="n">
        <v>530016</v>
      </c>
      <c r="T75" s="22" t="n">
        <v>17.7400914</v>
      </c>
      <c r="U75" s="22" t="n">
        <v>83.298211</v>
      </c>
      <c r="V75" s="22" t="s">
        <v>129</v>
      </c>
      <c r="W75" s="22" t="n">
        <v>2022</v>
      </c>
      <c r="X75" s="23" t="n">
        <v>44621</v>
      </c>
      <c r="Y75" s="22" t="n">
        <v>1850</v>
      </c>
      <c r="Z75" s="22" t="n">
        <v>1850</v>
      </c>
      <c r="AA75" s="22" t="s">
        <v>23</v>
      </c>
      <c r="AB75" s="22" t="s">
        <v>467</v>
      </c>
      <c r="AC75" s="22" t="s">
        <v>468</v>
      </c>
      <c r="AD75" s="22" t="s">
        <v>469</v>
      </c>
      <c r="AE75" s="22" t="s">
        <v>467</v>
      </c>
      <c r="AF75" s="22" t="s">
        <v>468</v>
      </c>
      <c r="AG75" s="22" t="s">
        <v>469</v>
      </c>
      <c r="AH75" s="22" t="s">
        <v>493</v>
      </c>
      <c r="AI75" s="22" t="s">
        <v>137</v>
      </c>
      <c r="AJ75" s="22" t="n">
        <v>28</v>
      </c>
      <c r="AK75" s="22" t="n">
        <v>0</v>
      </c>
      <c r="AL75" s="22" t="n">
        <v>0</v>
      </c>
      <c r="AM75" s="22" t="n">
        <f aca="false">AL75+AK75+AJ75</f>
        <v>28</v>
      </c>
      <c r="AN75" s="24" t="n">
        <v>25</v>
      </c>
      <c r="AO75" s="24" t="n">
        <v>0</v>
      </c>
      <c r="AP75" s="22" t="n">
        <f aca="false">AN75+AO75</f>
        <v>25</v>
      </c>
      <c r="AQ75" s="22" t="n">
        <v>1</v>
      </c>
      <c r="AR75" s="22" t="n">
        <v>1</v>
      </c>
      <c r="AS75" s="22" t="n">
        <v>0</v>
      </c>
      <c r="AT75" s="22" t="n">
        <v>0</v>
      </c>
      <c r="AU75" s="22" t="n">
        <v>0</v>
      </c>
      <c r="AV75" s="22" t="n">
        <v>1</v>
      </c>
      <c r="AW75" s="22" t="n">
        <v>0</v>
      </c>
      <c r="AX75" s="22" t="n">
        <v>0</v>
      </c>
      <c r="AY75" s="22" t="s">
        <v>160</v>
      </c>
      <c r="AZ75" s="22" t="s">
        <v>139</v>
      </c>
    </row>
    <row r="76" customFormat="false" ht="14.25" hidden="false" customHeight="false" outlineLevel="0" collapsed="false">
      <c r="B76" s="22" t="n">
        <v>116</v>
      </c>
      <c r="C76" s="22" t="s">
        <v>636</v>
      </c>
      <c r="D76" s="22" t="s">
        <v>16</v>
      </c>
      <c r="E76" s="22" t="s">
        <v>21</v>
      </c>
      <c r="F76" s="22" t="n">
        <v>50000786</v>
      </c>
      <c r="G76" s="22" t="s">
        <v>120</v>
      </c>
      <c r="H76" s="22" t="s">
        <v>152</v>
      </c>
      <c r="I76" s="22" t="s">
        <v>122</v>
      </c>
      <c r="J76" s="22" t="s">
        <v>549</v>
      </c>
      <c r="K76" s="22" t="s">
        <v>549</v>
      </c>
      <c r="L76" s="22" t="s">
        <v>22</v>
      </c>
      <c r="M76" s="22" t="s">
        <v>153</v>
      </c>
      <c r="N76" s="22" t="s">
        <v>637</v>
      </c>
      <c r="O76" s="22" t="n">
        <v>70</v>
      </c>
      <c r="P76" s="22" t="n">
        <v>470</v>
      </c>
      <c r="Q76" s="22" t="s">
        <v>127</v>
      </c>
      <c r="R76" s="22" t="s">
        <v>638</v>
      </c>
      <c r="S76" s="22" t="n">
        <v>535002</v>
      </c>
      <c r="T76" s="22" t="n">
        <v>18.111596</v>
      </c>
      <c r="U76" s="22" t="n">
        <v>83.422051</v>
      </c>
      <c r="V76" s="22" t="s">
        <v>129</v>
      </c>
      <c r="W76" s="22" t="n">
        <v>2014</v>
      </c>
      <c r="X76" s="23" t="n">
        <v>41640</v>
      </c>
      <c r="Y76" s="22" t="n">
        <v>1300</v>
      </c>
      <c r="Z76" s="22" t="n">
        <v>1450</v>
      </c>
      <c r="AA76" s="22" t="s">
        <v>23</v>
      </c>
      <c r="AB76" s="22" t="s">
        <v>467</v>
      </c>
      <c r="AC76" s="22" t="s">
        <v>468</v>
      </c>
      <c r="AD76" s="22" t="s">
        <v>469</v>
      </c>
      <c r="AE76" s="22" t="s">
        <v>639</v>
      </c>
      <c r="AF76" s="22" t="s">
        <v>640</v>
      </c>
      <c r="AG76" s="22" t="s">
        <v>641</v>
      </c>
      <c r="AH76" s="22" t="s">
        <v>473</v>
      </c>
      <c r="AI76" s="22" t="s">
        <v>137</v>
      </c>
      <c r="AJ76" s="22" t="n">
        <v>27</v>
      </c>
      <c r="AK76" s="22" t="n">
        <v>1</v>
      </c>
      <c r="AL76" s="22" t="n">
        <v>2</v>
      </c>
      <c r="AM76" s="22" t="n">
        <f aca="false">AL76+AK76+AJ76</f>
        <v>30</v>
      </c>
      <c r="AN76" s="24" t="n">
        <v>33</v>
      </c>
      <c r="AO76" s="24" t="n">
        <v>10</v>
      </c>
      <c r="AP76" s="22" t="n">
        <f aca="false">AN76+AO76</f>
        <v>43</v>
      </c>
      <c r="AQ76" s="22" t="n">
        <v>1</v>
      </c>
      <c r="AR76" s="22" t="n">
        <v>0</v>
      </c>
      <c r="AS76" s="22" t="n">
        <v>0</v>
      </c>
      <c r="AT76" s="22" t="n">
        <v>0</v>
      </c>
      <c r="AU76" s="22" t="n">
        <v>1</v>
      </c>
      <c r="AV76" s="22" t="n">
        <v>0</v>
      </c>
      <c r="AW76" s="22" t="n">
        <v>0</v>
      </c>
      <c r="AX76" s="22" t="n">
        <v>0</v>
      </c>
      <c r="AY76" s="22" t="s">
        <v>160</v>
      </c>
      <c r="AZ76" s="22" t="s">
        <v>642</v>
      </c>
    </row>
    <row r="77" customFormat="false" ht="14.25" hidden="false" customHeight="false" outlineLevel="0" collapsed="false">
      <c r="B77" s="22" t="n">
        <v>117</v>
      </c>
      <c r="C77" s="22" t="s">
        <v>643</v>
      </c>
      <c r="D77" s="22" t="s">
        <v>16</v>
      </c>
      <c r="E77" s="22" t="s">
        <v>21</v>
      </c>
      <c r="F77" s="22" t="n">
        <v>50000219</v>
      </c>
      <c r="G77" s="22" t="s">
        <v>120</v>
      </c>
      <c r="H77" s="22" t="s">
        <v>152</v>
      </c>
      <c r="I77" s="22" t="s">
        <v>122</v>
      </c>
      <c r="J77" s="22" t="s">
        <v>643</v>
      </c>
      <c r="K77" s="22" t="s">
        <v>643</v>
      </c>
      <c r="L77" s="22" t="s">
        <v>22</v>
      </c>
      <c r="M77" s="22" t="s">
        <v>153</v>
      </c>
      <c r="N77" s="22" t="s">
        <v>644</v>
      </c>
      <c r="O77" s="22" t="n">
        <v>387</v>
      </c>
      <c r="P77" s="22" t="n">
        <v>566</v>
      </c>
      <c r="Q77" s="22" t="s">
        <v>165</v>
      </c>
      <c r="R77" s="22" t="s">
        <v>645</v>
      </c>
      <c r="S77" s="22" t="n">
        <v>534002</v>
      </c>
      <c r="T77" s="22" t="n">
        <v>16.714649</v>
      </c>
      <c r="U77" s="22" t="n">
        <v>81.100046</v>
      </c>
      <c r="V77" s="22" t="s">
        <v>129</v>
      </c>
      <c r="W77" s="22" t="n">
        <v>2018</v>
      </c>
      <c r="X77" s="23" t="n">
        <v>43101</v>
      </c>
      <c r="Y77" s="22" t="n">
        <v>1500</v>
      </c>
      <c r="Z77" s="22" t="n">
        <v>1500</v>
      </c>
      <c r="AA77" s="22" t="s">
        <v>23</v>
      </c>
      <c r="AB77" s="22" t="s">
        <v>467</v>
      </c>
      <c r="AC77" s="22" t="s">
        <v>468</v>
      </c>
      <c r="AD77" s="22" t="s">
        <v>469</v>
      </c>
      <c r="AE77" s="22" t="s">
        <v>646</v>
      </c>
      <c r="AF77" s="22" t="s">
        <v>647</v>
      </c>
      <c r="AG77" s="22" t="s">
        <v>648</v>
      </c>
      <c r="AH77" s="22" t="s">
        <v>230</v>
      </c>
      <c r="AI77" s="22" t="s">
        <v>137</v>
      </c>
      <c r="AJ77" s="22" t="n">
        <v>18</v>
      </c>
      <c r="AK77" s="22" t="n">
        <v>2</v>
      </c>
      <c r="AL77" s="22" t="n">
        <v>2</v>
      </c>
      <c r="AM77" s="22" t="n">
        <f aca="false">AL77+AK77+AJ77</f>
        <v>22</v>
      </c>
      <c r="AN77" s="24" t="n">
        <v>35</v>
      </c>
      <c r="AO77" s="24" t="n">
        <v>18</v>
      </c>
      <c r="AP77" s="22" t="n">
        <f aca="false">AN77+AO77</f>
        <v>53</v>
      </c>
      <c r="AQ77" s="22" t="n">
        <v>1</v>
      </c>
      <c r="AR77" s="22" t="n">
        <v>1</v>
      </c>
      <c r="AS77" s="22" t="n">
        <v>0</v>
      </c>
      <c r="AT77" s="22" t="n">
        <v>1</v>
      </c>
      <c r="AU77" s="22" t="n">
        <v>0</v>
      </c>
      <c r="AV77" s="22" t="n">
        <v>1</v>
      </c>
      <c r="AW77" s="22" t="n">
        <v>0</v>
      </c>
      <c r="AX77" s="22" t="n">
        <v>0</v>
      </c>
      <c r="AY77" s="22" t="s">
        <v>160</v>
      </c>
      <c r="AZ77" s="22" t="s">
        <v>649</v>
      </c>
    </row>
    <row r="78" customFormat="false" ht="14.25" hidden="false" customHeight="false" outlineLevel="0" collapsed="false">
      <c r="B78" s="22" t="n">
        <v>118</v>
      </c>
      <c r="C78" s="22" t="s">
        <v>650</v>
      </c>
      <c r="D78" s="22" t="s">
        <v>16</v>
      </c>
      <c r="E78" s="22" t="s">
        <v>21</v>
      </c>
      <c r="F78" s="22" t="n">
        <v>50007158</v>
      </c>
      <c r="G78" s="22" t="s">
        <v>162</v>
      </c>
      <c r="H78" s="22" t="s">
        <v>163</v>
      </c>
      <c r="I78" s="22" t="s">
        <v>122</v>
      </c>
      <c r="J78" s="22" t="s">
        <v>643</v>
      </c>
      <c r="K78" s="22" t="s">
        <v>643</v>
      </c>
      <c r="L78" s="22" t="s">
        <v>22</v>
      </c>
      <c r="M78" s="22" t="s">
        <v>153</v>
      </c>
      <c r="N78" s="22" t="s">
        <v>644</v>
      </c>
      <c r="O78" s="22" t="n">
        <v>387</v>
      </c>
      <c r="P78" s="22" t="s">
        <v>651</v>
      </c>
      <c r="Q78" s="22" t="s">
        <v>165</v>
      </c>
      <c r="R78" s="22" t="s">
        <v>652</v>
      </c>
      <c r="S78" s="22" t="n">
        <v>534006</v>
      </c>
      <c r="T78" s="22" t="n">
        <v>16.716841</v>
      </c>
      <c r="U78" s="22" t="n">
        <v>81.090584</v>
      </c>
      <c r="V78" s="22" t="s">
        <v>129</v>
      </c>
      <c r="W78" s="22" t="n">
        <v>2018</v>
      </c>
      <c r="X78" s="23" t="n">
        <v>43101</v>
      </c>
      <c r="Y78" s="22" t="n">
        <v>2800</v>
      </c>
      <c r="Z78" s="22" t="n">
        <v>1500</v>
      </c>
      <c r="AA78" s="22" t="s">
        <v>23</v>
      </c>
      <c r="AB78" s="22" t="s">
        <v>467</v>
      </c>
      <c r="AC78" s="22" t="s">
        <v>468</v>
      </c>
      <c r="AD78" s="22" t="s">
        <v>469</v>
      </c>
      <c r="AE78" s="22" t="s">
        <v>653</v>
      </c>
      <c r="AF78" s="22" t="s">
        <v>654</v>
      </c>
      <c r="AG78" s="22" t="s">
        <v>655</v>
      </c>
      <c r="AH78" s="22" t="s">
        <v>473</v>
      </c>
      <c r="AI78" s="22" t="s">
        <v>314</v>
      </c>
      <c r="AJ78" s="22" t="n">
        <v>20</v>
      </c>
      <c r="AK78" s="22" t="n">
        <v>0</v>
      </c>
      <c r="AL78" s="22" t="n">
        <v>0</v>
      </c>
      <c r="AM78" s="22" t="n">
        <f aca="false">AL78+AK78+AJ78</f>
        <v>20</v>
      </c>
      <c r="AN78" s="24" t="n">
        <v>27</v>
      </c>
      <c r="AO78" s="24" t="n">
        <v>15</v>
      </c>
      <c r="AP78" s="22" t="n">
        <f aca="false">AN78+AO78</f>
        <v>42</v>
      </c>
      <c r="AQ78" s="22" t="n">
        <v>2</v>
      </c>
      <c r="AR78" s="22" t="n">
        <v>1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s">
        <v>160</v>
      </c>
      <c r="AZ78" s="22" t="s">
        <v>656</v>
      </c>
    </row>
    <row r="79" customFormat="false" ht="14.25" hidden="false" customHeight="false" outlineLevel="0" collapsed="false">
      <c r="B79" s="22" t="n">
        <v>119</v>
      </c>
      <c r="C79" s="22" t="s">
        <v>657</v>
      </c>
      <c r="D79" s="22" t="s">
        <v>16</v>
      </c>
      <c r="E79" s="22" t="s">
        <v>21</v>
      </c>
      <c r="F79" s="22" t="n">
        <v>50000242</v>
      </c>
      <c r="G79" s="22" t="s">
        <v>120</v>
      </c>
      <c r="H79" s="22" t="s">
        <v>152</v>
      </c>
      <c r="I79" s="22" t="s">
        <v>658</v>
      </c>
      <c r="J79" s="22" t="s">
        <v>659</v>
      </c>
      <c r="K79" s="22" t="s">
        <v>659</v>
      </c>
      <c r="L79" s="22" t="s">
        <v>22</v>
      </c>
      <c r="M79" s="22" t="s">
        <v>153</v>
      </c>
      <c r="N79" s="22" t="s">
        <v>660</v>
      </c>
      <c r="O79" s="22" t="n">
        <v>158</v>
      </c>
      <c r="P79" s="22" t="n">
        <v>563</v>
      </c>
      <c r="Q79" s="22" t="s">
        <v>583</v>
      </c>
      <c r="R79" s="22" t="s">
        <v>661</v>
      </c>
      <c r="S79" s="22" t="n">
        <v>521301</v>
      </c>
      <c r="T79" s="22" t="n">
        <v>16.431626</v>
      </c>
      <c r="U79" s="22" t="n">
        <v>80.996303</v>
      </c>
      <c r="V79" s="22" t="s">
        <v>129</v>
      </c>
      <c r="W79" s="22" t="n">
        <v>2015</v>
      </c>
      <c r="X79" s="23" t="n">
        <v>42217</v>
      </c>
      <c r="Y79" s="22" t="n">
        <v>1290</v>
      </c>
      <c r="Z79" s="22" t="n">
        <v>1300</v>
      </c>
      <c r="AA79" s="22" t="s">
        <v>23</v>
      </c>
      <c r="AB79" s="22" t="s">
        <v>467</v>
      </c>
      <c r="AC79" s="22" t="s">
        <v>468</v>
      </c>
      <c r="AD79" s="22" t="s">
        <v>469</v>
      </c>
      <c r="AE79" s="22" t="s">
        <v>662</v>
      </c>
      <c r="AF79" s="22" t="s">
        <v>663</v>
      </c>
      <c r="AG79" s="22" t="s">
        <v>664</v>
      </c>
      <c r="AH79" s="22" t="s">
        <v>473</v>
      </c>
      <c r="AI79" s="22" t="s">
        <v>137</v>
      </c>
      <c r="AJ79" s="22" t="n">
        <v>18</v>
      </c>
      <c r="AK79" s="22" t="n">
        <v>1</v>
      </c>
      <c r="AL79" s="22" t="n">
        <v>2</v>
      </c>
      <c r="AM79" s="22" t="n">
        <f aca="false">AL79+AK79+AJ79</f>
        <v>21</v>
      </c>
      <c r="AN79" s="24" t="n">
        <v>23</v>
      </c>
      <c r="AO79" s="24" t="n">
        <v>10</v>
      </c>
      <c r="AP79" s="22" t="n">
        <f aca="false">AN79+AO79</f>
        <v>33</v>
      </c>
      <c r="AQ79" s="22" t="n">
        <v>2</v>
      </c>
      <c r="AR79" s="22" t="n">
        <v>0</v>
      </c>
      <c r="AS79" s="22" t="n">
        <v>1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s">
        <v>160</v>
      </c>
      <c r="AZ79" s="22" t="s">
        <v>649</v>
      </c>
    </row>
    <row r="80" customFormat="false" ht="14.25" hidden="false" customHeight="false" outlineLevel="0" collapsed="false">
      <c r="B80" s="22" t="n">
        <v>120</v>
      </c>
      <c r="C80" s="22" t="s">
        <v>665</v>
      </c>
      <c r="D80" s="22" t="s">
        <v>16</v>
      </c>
      <c r="E80" s="22" t="s">
        <v>21</v>
      </c>
      <c r="F80" s="22" t="n">
        <v>50000850</v>
      </c>
      <c r="G80" s="22" t="s">
        <v>120</v>
      </c>
      <c r="H80" s="22" t="s">
        <v>152</v>
      </c>
      <c r="I80" s="22" t="s">
        <v>122</v>
      </c>
      <c r="J80" s="22" t="s">
        <v>665</v>
      </c>
      <c r="K80" s="22" t="s">
        <v>643</v>
      </c>
      <c r="L80" s="22" t="s">
        <v>22</v>
      </c>
      <c r="M80" s="22" t="s">
        <v>153</v>
      </c>
      <c r="N80" s="22" t="s">
        <v>666</v>
      </c>
      <c r="O80" s="22" t="n">
        <v>2630</v>
      </c>
      <c r="P80" s="22" t="s">
        <v>667</v>
      </c>
      <c r="Q80" s="22" t="s">
        <v>127</v>
      </c>
      <c r="R80" s="22" t="s">
        <v>668</v>
      </c>
      <c r="S80" s="22" t="n">
        <v>534447</v>
      </c>
      <c r="T80" s="22" t="n">
        <v>17.118314</v>
      </c>
      <c r="U80" s="22" t="n">
        <v>81.297878</v>
      </c>
      <c r="V80" s="22" t="s">
        <v>129</v>
      </c>
      <c r="W80" s="22" t="n">
        <v>2017</v>
      </c>
      <c r="X80" s="23" t="n">
        <v>42826</v>
      </c>
      <c r="Y80" s="22" t="n">
        <v>2000</v>
      </c>
      <c r="Z80" s="22" t="n">
        <v>2000</v>
      </c>
      <c r="AA80" s="22" t="s">
        <v>23</v>
      </c>
      <c r="AB80" s="22" t="s">
        <v>467</v>
      </c>
      <c r="AC80" s="22" t="s">
        <v>468</v>
      </c>
      <c r="AD80" s="22" t="s">
        <v>469</v>
      </c>
      <c r="AE80" s="22" t="s">
        <v>669</v>
      </c>
      <c r="AF80" s="22" t="s">
        <v>670</v>
      </c>
      <c r="AG80" s="22" t="s">
        <v>671</v>
      </c>
      <c r="AH80" s="22" t="s">
        <v>473</v>
      </c>
      <c r="AI80" s="22" t="s">
        <v>137</v>
      </c>
      <c r="AJ80" s="22" t="n">
        <v>13</v>
      </c>
      <c r="AK80" s="22" t="n">
        <v>2</v>
      </c>
      <c r="AL80" s="22" t="n">
        <v>0</v>
      </c>
      <c r="AM80" s="22" t="n">
        <f aca="false">AL80+AK80+AJ80</f>
        <v>15</v>
      </c>
      <c r="AN80" s="24" t="n">
        <v>20</v>
      </c>
      <c r="AO80" s="24" t="n">
        <v>10</v>
      </c>
      <c r="AP80" s="22" t="n">
        <f aca="false">AN80+AO80</f>
        <v>30</v>
      </c>
      <c r="AQ80" s="22" t="n">
        <v>1</v>
      </c>
      <c r="AR80" s="22" t="n">
        <v>0</v>
      </c>
      <c r="AS80" s="22" t="n">
        <v>0</v>
      </c>
      <c r="AT80" s="22" t="n">
        <v>0</v>
      </c>
      <c r="AU80" s="22" t="n">
        <v>1</v>
      </c>
      <c r="AV80" s="22" t="n">
        <v>0</v>
      </c>
      <c r="AW80" s="22" t="n">
        <v>0</v>
      </c>
      <c r="AX80" s="22" t="n">
        <v>0</v>
      </c>
      <c r="AY80" s="22" t="s">
        <v>160</v>
      </c>
      <c r="AZ80" s="22" t="s">
        <v>672</v>
      </c>
    </row>
    <row r="81" customFormat="false" ht="14.25" hidden="false" customHeight="false" outlineLevel="0" collapsed="false">
      <c r="B81" s="22" t="n">
        <v>121</v>
      </c>
      <c r="C81" s="22" t="s">
        <v>673</v>
      </c>
      <c r="D81" s="22" t="s">
        <v>16</v>
      </c>
      <c r="E81" s="22" t="s">
        <v>21</v>
      </c>
      <c r="F81" s="22" t="n">
        <v>50000418</v>
      </c>
      <c r="G81" s="22" t="s">
        <v>120</v>
      </c>
      <c r="H81" s="22" t="s">
        <v>152</v>
      </c>
      <c r="I81" s="22" t="s">
        <v>122</v>
      </c>
      <c r="J81" s="22" t="s">
        <v>659</v>
      </c>
      <c r="K81" s="22" t="s">
        <v>659</v>
      </c>
      <c r="L81" s="22" t="s">
        <v>22</v>
      </c>
      <c r="M81" s="22" t="s">
        <v>153</v>
      </c>
      <c r="N81" s="22" t="s">
        <v>674</v>
      </c>
      <c r="O81" s="22" t="n">
        <v>681</v>
      </c>
      <c r="P81" s="22" t="s">
        <v>675</v>
      </c>
      <c r="Q81" s="22" t="s">
        <v>127</v>
      </c>
      <c r="R81" s="22" t="s">
        <v>676</v>
      </c>
      <c r="S81" s="22" t="n">
        <v>521001</v>
      </c>
      <c r="T81" s="22" t="n">
        <v>16.181561</v>
      </c>
      <c r="U81" s="22" t="n">
        <v>81.136988</v>
      </c>
      <c r="V81" s="22" t="s">
        <v>129</v>
      </c>
      <c r="W81" s="22" t="n">
        <v>2018</v>
      </c>
      <c r="X81" s="23" t="n">
        <v>43101</v>
      </c>
      <c r="Y81" s="22" t="n">
        <v>2000</v>
      </c>
      <c r="Z81" s="22" t="n">
        <v>2000</v>
      </c>
      <c r="AA81" s="22" t="s">
        <v>23</v>
      </c>
      <c r="AB81" s="22" t="s">
        <v>467</v>
      </c>
      <c r="AC81" s="22" t="s">
        <v>468</v>
      </c>
      <c r="AD81" s="22" t="s">
        <v>469</v>
      </c>
      <c r="AE81" s="22" t="s">
        <v>677</v>
      </c>
      <c r="AF81" s="22" t="s">
        <v>678</v>
      </c>
      <c r="AG81" s="22" t="s">
        <v>679</v>
      </c>
      <c r="AH81" s="22" t="s">
        <v>473</v>
      </c>
      <c r="AI81" s="22" t="s">
        <v>137</v>
      </c>
      <c r="AJ81" s="22" t="n">
        <v>16</v>
      </c>
      <c r="AK81" s="22" t="n">
        <v>1</v>
      </c>
      <c r="AL81" s="22" t="n">
        <v>2</v>
      </c>
      <c r="AM81" s="22" t="n">
        <f aca="false">AL81+AK81+AJ81</f>
        <v>19</v>
      </c>
      <c r="AN81" s="24" t="n">
        <v>17</v>
      </c>
      <c r="AO81" s="24" t="n">
        <v>14</v>
      </c>
      <c r="AP81" s="22" t="n">
        <f aca="false">AN81+AO81</f>
        <v>31</v>
      </c>
      <c r="AQ81" s="22" t="n">
        <v>1</v>
      </c>
      <c r="AR81" s="22" t="n">
        <v>1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s">
        <v>160</v>
      </c>
      <c r="AZ81" s="22" t="s">
        <v>649</v>
      </c>
    </row>
    <row r="82" customFormat="false" ht="14.25" hidden="false" customHeight="false" outlineLevel="0" collapsed="false">
      <c r="B82" s="22" t="n">
        <v>122</v>
      </c>
      <c r="C82" s="22" t="s">
        <v>680</v>
      </c>
      <c r="D82" s="22" t="s">
        <v>16</v>
      </c>
      <c r="E82" s="22" t="s">
        <v>21</v>
      </c>
      <c r="F82" s="22" t="n">
        <v>50000714</v>
      </c>
      <c r="G82" s="22" t="s">
        <v>120</v>
      </c>
      <c r="H82" s="22" t="s">
        <v>152</v>
      </c>
      <c r="I82" s="22" t="s">
        <v>122</v>
      </c>
      <c r="J82" s="22" t="s">
        <v>680</v>
      </c>
      <c r="K82" s="22" t="s">
        <v>484</v>
      </c>
      <c r="L82" s="22" t="s">
        <v>22</v>
      </c>
      <c r="M82" s="22" t="s">
        <v>153</v>
      </c>
      <c r="N82" s="22" t="s">
        <v>681</v>
      </c>
      <c r="O82" s="22" t="n">
        <v>908</v>
      </c>
      <c r="P82" s="22" t="s">
        <v>682</v>
      </c>
      <c r="Q82" s="22" t="s">
        <v>165</v>
      </c>
      <c r="R82" s="22" t="s">
        <v>683</v>
      </c>
      <c r="S82" s="22" t="n">
        <v>534101</v>
      </c>
      <c r="T82" s="22" t="n">
        <v>16.810758</v>
      </c>
      <c r="U82" s="22" t="n">
        <v>81.52854</v>
      </c>
      <c r="V82" s="22" t="s">
        <v>129</v>
      </c>
      <c r="W82" s="22" t="n">
        <v>2016</v>
      </c>
      <c r="X82" s="23" t="n">
        <v>42917</v>
      </c>
      <c r="Y82" s="22" t="n">
        <v>1200</v>
      </c>
      <c r="Z82" s="22" t="n">
        <v>1200</v>
      </c>
      <c r="AA82" s="22" t="s">
        <v>23</v>
      </c>
      <c r="AB82" s="22" t="s">
        <v>467</v>
      </c>
      <c r="AC82" s="22" t="s">
        <v>468</v>
      </c>
      <c r="AD82" s="22" t="s">
        <v>469</v>
      </c>
      <c r="AE82" s="22" t="s">
        <v>684</v>
      </c>
      <c r="AF82" s="22" t="s">
        <v>685</v>
      </c>
      <c r="AG82" s="22" t="s">
        <v>686</v>
      </c>
      <c r="AH82" s="22" t="s">
        <v>473</v>
      </c>
      <c r="AI82" s="22" t="s">
        <v>137</v>
      </c>
      <c r="AJ82" s="22" t="n">
        <v>18</v>
      </c>
      <c r="AK82" s="22" t="n">
        <v>1</v>
      </c>
      <c r="AL82" s="22" t="n">
        <v>2</v>
      </c>
      <c r="AM82" s="22" t="n">
        <f aca="false">AL82+AK82+AJ82</f>
        <v>21</v>
      </c>
      <c r="AN82" s="24" t="n">
        <v>27</v>
      </c>
      <c r="AO82" s="24" t="n">
        <v>7</v>
      </c>
      <c r="AP82" s="22" t="n">
        <f aca="false">AN82+AO82</f>
        <v>34</v>
      </c>
      <c r="AQ82" s="22" t="n">
        <v>1</v>
      </c>
      <c r="AR82" s="22" t="n">
        <v>0</v>
      </c>
      <c r="AS82" s="22" t="n">
        <v>0</v>
      </c>
      <c r="AT82" s="22" t="n">
        <v>0</v>
      </c>
      <c r="AU82" s="22" t="n">
        <v>0</v>
      </c>
      <c r="AV82" s="22" t="n">
        <v>0</v>
      </c>
      <c r="AW82" s="22" t="n">
        <v>0</v>
      </c>
      <c r="AX82" s="22" t="n">
        <v>0</v>
      </c>
      <c r="AY82" s="22" t="s">
        <v>160</v>
      </c>
      <c r="AZ82" s="22" t="s">
        <v>649</v>
      </c>
    </row>
    <row r="83" customFormat="false" ht="14.25" hidden="false" customHeight="false" outlineLevel="0" collapsed="false">
      <c r="B83" s="22" t="n">
        <v>123</v>
      </c>
      <c r="C83" s="22" t="s">
        <v>687</v>
      </c>
      <c r="D83" s="22" t="s">
        <v>16</v>
      </c>
      <c r="E83" s="22" t="s">
        <v>21</v>
      </c>
      <c r="F83" s="22" t="n">
        <v>50001098</v>
      </c>
      <c r="G83" s="22" t="s">
        <v>120</v>
      </c>
      <c r="H83" s="22" t="s">
        <v>121</v>
      </c>
      <c r="I83" s="22" t="s">
        <v>122</v>
      </c>
      <c r="J83" s="22" t="s">
        <v>688</v>
      </c>
      <c r="K83" s="22" t="s">
        <v>688</v>
      </c>
      <c r="L83" s="22" t="s">
        <v>22</v>
      </c>
      <c r="M83" s="22" t="s">
        <v>124</v>
      </c>
      <c r="N83" s="22" t="s">
        <v>689</v>
      </c>
      <c r="O83" s="22" t="n">
        <v>5315</v>
      </c>
      <c r="P83" s="22" t="s">
        <v>690</v>
      </c>
      <c r="Q83" s="22" t="s">
        <v>165</v>
      </c>
      <c r="R83" s="22" t="s">
        <v>691</v>
      </c>
      <c r="S83" s="22" t="n">
        <v>523201</v>
      </c>
      <c r="T83" s="22" t="n">
        <v>15.803557</v>
      </c>
      <c r="U83" s="22" t="n">
        <v>79.977005</v>
      </c>
      <c r="V83" s="22" t="s">
        <v>129</v>
      </c>
      <c r="W83" s="22" t="n">
        <v>2018</v>
      </c>
      <c r="X83" s="23" t="n">
        <v>43132</v>
      </c>
      <c r="Y83" s="22" t="n">
        <v>1900</v>
      </c>
      <c r="Z83" s="22" t="n">
        <v>1900</v>
      </c>
      <c r="AA83" s="22" t="s">
        <v>23</v>
      </c>
      <c r="AB83" s="22" t="s">
        <v>692</v>
      </c>
      <c r="AC83" s="22" t="s">
        <v>693</v>
      </c>
      <c r="AD83" s="22" t="s">
        <v>694</v>
      </c>
      <c r="AE83" s="22" t="s">
        <v>695</v>
      </c>
      <c r="AF83" s="22" t="s">
        <v>696</v>
      </c>
      <c r="AG83" s="22" t="s">
        <v>697</v>
      </c>
      <c r="AH83" s="22" t="s">
        <v>473</v>
      </c>
      <c r="AI83" s="22" t="s">
        <v>137</v>
      </c>
      <c r="AJ83" s="22" t="n">
        <v>13</v>
      </c>
      <c r="AK83" s="22" t="n">
        <v>1</v>
      </c>
      <c r="AL83" s="22" t="n">
        <v>0</v>
      </c>
      <c r="AM83" s="22" t="n">
        <f aca="false">AL83+AK83+AJ83</f>
        <v>14</v>
      </c>
      <c r="AN83" s="22" t="n">
        <v>11</v>
      </c>
      <c r="AO83" s="22" t="n">
        <v>4</v>
      </c>
      <c r="AP83" s="22" t="n">
        <f aca="false">AN83+AO83</f>
        <v>15</v>
      </c>
      <c r="AQ83" s="22" t="n">
        <v>1</v>
      </c>
      <c r="AR83" s="22" t="n">
        <v>0</v>
      </c>
      <c r="AS83" s="22" t="n">
        <v>1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s">
        <v>138</v>
      </c>
      <c r="AZ83" s="22" t="s">
        <v>698</v>
      </c>
    </row>
    <row r="84" customFormat="false" ht="14.25" hidden="false" customHeight="false" outlineLevel="0" collapsed="false">
      <c r="B84" s="22" t="n">
        <v>124</v>
      </c>
      <c r="C84" s="22" t="s">
        <v>699</v>
      </c>
      <c r="D84" s="22" t="s">
        <v>16</v>
      </c>
      <c r="E84" s="22" t="s">
        <v>21</v>
      </c>
      <c r="F84" s="22" t="n">
        <v>50000003</v>
      </c>
      <c r="G84" s="22" t="s">
        <v>120</v>
      </c>
      <c r="H84" s="22" t="s">
        <v>121</v>
      </c>
      <c r="I84" s="22" t="s">
        <v>122</v>
      </c>
      <c r="J84" s="22" t="s">
        <v>700</v>
      </c>
      <c r="K84" s="22" t="s">
        <v>700</v>
      </c>
      <c r="L84" s="22" t="s">
        <v>22</v>
      </c>
      <c r="M84" s="22" t="s">
        <v>124</v>
      </c>
      <c r="N84" s="22" t="s">
        <v>701</v>
      </c>
      <c r="O84" s="22" t="n">
        <v>288</v>
      </c>
      <c r="P84" s="22" t="s">
        <v>702</v>
      </c>
      <c r="Q84" s="22" t="s">
        <v>127</v>
      </c>
      <c r="R84" s="22" t="s">
        <v>703</v>
      </c>
      <c r="S84" s="22" t="n">
        <v>518301</v>
      </c>
      <c r="T84" s="22" t="n">
        <v>15.622917</v>
      </c>
      <c r="U84" s="22" t="n">
        <v>77.2792559</v>
      </c>
      <c r="V84" s="22" t="s">
        <v>129</v>
      </c>
      <c r="W84" s="22" t="n">
        <v>2019</v>
      </c>
      <c r="X84" s="23" t="n">
        <v>43546</v>
      </c>
      <c r="Y84" s="22" t="n">
        <v>1500</v>
      </c>
      <c r="Z84" s="22" t="n">
        <v>1500</v>
      </c>
      <c r="AA84" s="22" t="s">
        <v>23</v>
      </c>
      <c r="AB84" s="22" t="s">
        <v>692</v>
      </c>
      <c r="AC84" s="22" t="s">
        <v>693</v>
      </c>
      <c r="AD84" s="22" t="s">
        <v>694</v>
      </c>
      <c r="AE84" s="22" t="s">
        <v>704</v>
      </c>
      <c r="AF84" s="22" t="s">
        <v>705</v>
      </c>
      <c r="AG84" s="22" t="s">
        <v>706</v>
      </c>
      <c r="AH84" s="22" t="s">
        <v>473</v>
      </c>
      <c r="AI84" s="22" t="s">
        <v>137</v>
      </c>
      <c r="AJ84" s="22" t="n">
        <v>20</v>
      </c>
      <c r="AK84" s="22" t="n">
        <v>1</v>
      </c>
      <c r="AL84" s="22" t="n">
        <v>3</v>
      </c>
      <c r="AM84" s="22" t="n">
        <f aca="false">AL84+AK84+AJ84</f>
        <v>24</v>
      </c>
      <c r="AN84" s="22" t="n">
        <v>24</v>
      </c>
      <c r="AO84" s="22" t="n">
        <v>5</v>
      </c>
      <c r="AP84" s="22" t="n">
        <f aca="false">AN84+AO84</f>
        <v>29</v>
      </c>
      <c r="AQ84" s="22" t="n">
        <v>0</v>
      </c>
      <c r="AR84" s="22" t="n">
        <v>0</v>
      </c>
      <c r="AS84" s="22" t="n">
        <v>1</v>
      </c>
      <c r="AT84" s="22" t="n">
        <v>0</v>
      </c>
      <c r="AU84" s="22" t="n">
        <v>1</v>
      </c>
      <c r="AV84" s="22" t="n">
        <v>0</v>
      </c>
      <c r="AW84" s="22" t="n">
        <v>0</v>
      </c>
      <c r="AX84" s="22" t="n">
        <v>0</v>
      </c>
      <c r="AY84" s="22" t="s">
        <v>160</v>
      </c>
      <c r="AZ84" s="22" t="s">
        <v>707</v>
      </c>
    </row>
    <row r="85" customFormat="false" ht="14.25" hidden="false" customHeight="false" outlineLevel="0" collapsed="false">
      <c r="B85" s="22" t="n">
        <v>125</v>
      </c>
      <c r="C85" s="22" t="s">
        <v>708</v>
      </c>
      <c r="D85" s="22" t="s">
        <v>16</v>
      </c>
      <c r="E85" s="22" t="s">
        <v>21</v>
      </c>
      <c r="F85" s="22" t="n">
        <v>50001931</v>
      </c>
      <c r="G85" s="22" t="s">
        <v>120</v>
      </c>
      <c r="H85" s="22" t="s">
        <v>141</v>
      </c>
      <c r="I85" s="22" t="s">
        <v>122</v>
      </c>
      <c r="J85" s="22" t="s">
        <v>700</v>
      </c>
      <c r="K85" s="22" t="s">
        <v>700</v>
      </c>
      <c r="L85" s="22" t="s">
        <v>22</v>
      </c>
      <c r="M85" s="22" t="s">
        <v>124</v>
      </c>
      <c r="N85" s="22" t="s">
        <v>709</v>
      </c>
      <c r="O85" s="22" t="n">
        <v>8555</v>
      </c>
      <c r="P85" s="22" t="s">
        <v>710</v>
      </c>
      <c r="Q85" s="22" t="s">
        <v>583</v>
      </c>
      <c r="R85" s="22" t="s">
        <v>711</v>
      </c>
      <c r="S85" s="22" t="n">
        <v>518543</v>
      </c>
      <c r="T85" s="22" t="n">
        <v>15.133917</v>
      </c>
      <c r="U85" s="22" t="n">
        <v>78.5029068</v>
      </c>
      <c r="V85" s="22" t="s">
        <v>129</v>
      </c>
      <c r="W85" s="22" t="n">
        <v>2020</v>
      </c>
      <c r="X85" s="23" t="n">
        <v>44012</v>
      </c>
      <c r="Y85" s="22" t="n">
        <v>990</v>
      </c>
      <c r="Z85" s="22" t="n">
        <v>990</v>
      </c>
      <c r="AA85" s="22" t="s">
        <v>23</v>
      </c>
      <c r="AB85" s="22" t="s">
        <v>692</v>
      </c>
      <c r="AC85" s="22" t="s">
        <v>693</v>
      </c>
      <c r="AD85" s="22" t="s">
        <v>694</v>
      </c>
      <c r="AE85" s="22" t="s">
        <v>712</v>
      </c>
      <c r="AF85" s="22" t="s">
        <v>713</v>
      </c>
      <c r="AG85" s="22" t="s">
        <v>714</v>
      </c>
      <c r="AH85" s="22" t="s">
        <v>473</v>
      </c>
      <c r="AI85" s="22" t="s">
        <v>137</v>
      </c>
      <c r="AJ85" s="22" t="n">
        <v>12</v>
      </c>
      <c r="AK85" s="22" t="n">
        <v>1</v>
      </c>
      <c r="AL85" s="22" t="n">
        <v>0</v>
      </c>
      <c r="AM85" s="22" t="n">
        <f aca="false">AL85+AK85+AJ85</f>
        <v>13</v>
      </c>
      <c r="AN85" s="22" t="n">
        <v>7</v>
      </c>
      <c r="AO85" s="22" t="n">
        <v>3</v>
      </c>
      <c r="AP85" s="22" t="n">
        <f aca="false">AN85+AO85</f>
        <v>10</v>
      </c>
      <c r="AQ85" s="22" t="n">
        <v>0</v>
      </c>
      <c r="AR85" s="22" t="n">
        <v>0</v>
      </c>
      <c r="AS85" s="22" t="n">
        <v>1</v>
      </c>
      <c r="AT85" s="22" t="n">
        <v>0</v>
      </c>
      <c r="AU85" s="22" t="n">
        <v>1</v>
      </c>
      <c r="AV85" s="22" t="n">
        <v>0</v>
      </c>
      <c r="AW85" s="22" t="n">
        <v>0</v>
      </c>
      <c r="AX85" s="22" t="n">
        <v>0</v>
      </c>
      <c r="AY85" s="22" t="s">
        <v>138</v>
      </c>
      <c r="AZ85" s="22" t="s">
        <v>715</v>
      </c>
    </row>
    <row r="86" customFormat="false" ht="15.5" hidden="false" customHeight="false" outlineLevel="0" collapsed="false">
      <c r="B86" s="22" t="n">
        <v>126</v>
      </c>
      <c r="C86" s="22" t="s">
        <v>716</v>
      </c>
      <c r="D86" s="22" t="s">
        <v>16</v>
      </c>
      <c r="E86" s="22" t="s">
        <v>21</v>
      </c>
      <c r="F86" s="22" t="n">
        <v>50001012</v>
      </c>
      <c r="G86" s="22" t="s">
        <v>120</v>
      </c>
      <c r="H86" s="22" t="s">
        <v>141</v>
      </c>
      <c r="I86" s="22" t="s">
        <v>122</v>
      </c>
      <c r="J86" s="22" t="s">
        <v>717</v>
      </c>
      <c r="K86" s="22" t="s">
        <v>717</v>
      </c>
      <c r="L86" s="22" t="s">
        <v>22</v>
      </c>
      <c r="M86" s="22" t="s">
        <v>153</v>
      </c>
      <c r="N86" s="22" t="s">
        <v>718</v>
      </c>
      <c r="O86" s="22" t="n">
        <v>4066</v>
      </c>
      <c r="P86" s="22" t="s">
        <v>719</v>
      </c>
      <c r="Q86" s="22" t="s">
        <v>165</v>
      </c>
      <c r="R86" s="22" t="s">
        <v>720</v>
      </c>
      <c r="S86" s="22" t="n">
        <v>522020</v>
      </c>
      <c r="T86" s="22" t="n">
        <v>16.5750925728579</v>
      </c>
      <c r="U86" s="22" t="n">
        <v>80.3591781342978</v>
      </c>
      <c r="V86" s="22" t="s">
        <v>129</v>
      </c>
      <c r="W86" s="22" t="n">
        <v>2017</v>
      </c>
      <c r="X86" s="23" t="n">
        <v>43009</v>
      </c>
      <c r="Y86" s="22" t="n">
        <v>480</v>
      </c>
      <c r="Z86" s="22" t="n">
        <v>480</v>
      </c>
      <c r="AA86" s="22" t="s">
        <v>23</v>
      </c>
      <c r="AB86" s="22" t="s">
        <v>692</v>
      </c>
      <c r="AC86" s="22" t="s">
        <v>693</v>
      </c>
      <c r="AD86" s="22" t="s">
        <v>694</v>
      </c>
      <c r="AE86" s="22" t="s">
        <v>721</v>
      </c>
      <c r="AF86" s="22" t="s">
        <v>722</v>
      </c>
      <c r="AG86" s="22" t="s">
        <v>723</v>
      </c>
      <c r="AH86" s="22" t="s">
        <v>473</v>
      </c>
      <c r="AI86" s="22" t="s">
        <v>137</v>
      </c>
      <c r="AJ86" s="22" t="n">
        <v>4</v>
      </c>
      <c r="AK86" s="22" t="n">
        <v>1</v>
      </c>
      <c r="AL86" s="22" t="n">
        <v>0</v>
      </c>
      <c r="AM86" s="22" t="n">
        <f aca="false">AL86+AK86+AJ86</f>
        <v>5</v>
      </c>
      <c r="AN86" s="22" t="n">
        <v>7</v>
      </c>
      <c r="AO86" s="22" t="n">
        <v>0</v>
      </c>
      <c r="AP86" s="22" t="n">
        <f aca="false">AN86+AO86</f>
        <v>7</v>
      </c>
      <c r="AQ86" s="22" t="n">
        <v>0</v>
      </c>
      <c r="AR86" s="22" t="n">
        <v>0</v>
      </c>
      <c r="AS86" s="22" t="n">
        <v>1</v>
      </c>
      <c r="AT86" s="22" t="n">
        <v>0</v>
      </c>
      <c r="AU86" s="22" t="n">
        <v>1</v>
      </c>
      <c r="AV86" s="22" t="n">
        <v>0</v>
      </c>
      <c r="AW86" s="22" t="n">
        <v>0</v>
      </c>
      <c r="AX86" s="22" t="n">
        <v>0</v>
      </c>
      <c r="AY86" s="22" t="s">
        <v>160</v>
      </c>
      <c r="AZ86" s="22" t="s">
        <v>724</v>
      </c>
    </row>
    <row r="87" customFormat="false" ht="14.25" hidden="false" customHeight="false" outlineLevel="0" collapsed="false">
      <c r="B87" s="22" t="n">
        <v>127</v>
      </c>
      <c r="C87" s="22" t="s">
        <v>725</v>
      </c>
      <c r="D87" s="22" t="s">
        <v>16</v>
      </c>
      <c r="E87" s="22" t="s">
        <v>21</v>
      </c>
      <c r="F87" s="22" t="n">
        <v>50000154</v>
      </c>
      <c r="G87" s="22" t="s">
        <v>120</v>
      </c>
      <c r="H87" s="22" t="s">
        <v>152</v>
      </c>
      <c r="I87" s="22" t="s">
        <v>122</v>
      </c>
      <c r="J87" s="22" t="s">
        <v>717</v>
      </c>
      <c r="K87" s="22" t="s">
        <v>717</v>
      </c>
      <c r="L87" s="22" t="s">
        <v>22</v>
      </c>
      <c r="M87" s="22" t="s">
        <v>153</v>
      </c>
      <c r="N87" s="22" t="s">
        <v>726</v>
      </c>
      <c r="O87" s="22" t="n">
        <v>1224</v>
      </c>
      <c r="P87" s="22" t="s">
        <v>727</v>
      </c>
      <c r="Q87" s="22" t="s">
        <v>127</v>
      </c>
      <c r="R87" s="22" t="s">
        <v>728</v>
      </c>
      <c r="S87" s="22" t="n">
        <v>522616</v>
      </c>
      <c r="T87" s="22" t="n">
        <v>16.095269</v>
      </c>
      <c r="U87" s="22" t="n">
        <v>80.165736</v>
      </c>
      <c r="V87" s="22" t="s">
        <v>129</v>
      </c>
      <c r="W87" s="22" t="n">
        <v>2016</v>
      </c>
      <c r="X87" s="23" t="n">
        <v>42531</v>
      </c>
      <c r="Y87" s="22" t="n">
        <v>1200</v>
      </c>
      <c r="Z87" s="22" t="n">
        <v>1200</v>
      </c>
      <c r="AA87" s="22" t="s">
        <v>23</v>
      </c>
      <c r="AB87" s="22" t="s">
        <v>692</v>
      </c>
      <c r="AC87" s="22" t="s">
        <v>693</v>
      </c>
      <c r="AD87" s="22" t="s">
        <v>694</v>
      </c>
      <c r="AE87" s="22" t="s">
        <v>729</v>
      </c>
      <c r="AF87" s="22" t="s">
        <v>730</v>
      </c>
      <c r="AG87" s="22" t="s">
        <v>731</v>
      </c>
      <c r="AH87" s="22" t="s">
        <v>473</v>
      </c>
      <c r="AI87" s="22" t="s">
        <v>137</v>
      </c>
      <c r="AJ87" s="22" t="n">
        <v>16</v>
      </c>
      <c r="AK87" s="22" t="n">
        <v>1</v>
      </c>
      <c r="AL87" s="22" t="n">
        <v>0</v>
      </c>
      <c r="AM87" s="22" t="n">
        <f aca="false">AL87+AK87+AJ87</f>
        <v>17</v>
      </c>
      <c r="AN87" s="22" t="n">
        <v>16</v>
      </c>
      <c r="AO87" s="22" t="n">
        <v>6</v>
      </c>
      <c r="AP87" s="22" t="n">
        <f aca="false">AN87+AO87</f>
        <v>22</v>
      </c>
      <c r="AQ87" s="22" t="n">
        <v>0</v>
      </c>
      <c r="AR87" s="22" t="n">
        <v>0</v>
      </c>
      <c r="AS87" s="22" t="n">
        <v>1</v>
      </c>
      <c r="AT87" s="22" t="n">
        <v>0</v>
      </c>
      <c r="AU87" s="22" t="n">
        <v>1</v>
      </c>
      <c r="AV87" s="22" t="n">
        <v>0</v>
      </c>
      <c r="AW87" s="22" t="n">
        <v>0</v>
      </c>
      <c r="AX87" s="22" t="n">
        <v>0</v>
      </c>
      <c r="AY87" s="22" t="s">
        <v>160</v>
      </c>
      <c r="AZ87" s="22" t="s">
        <v>649</v>
      </c>
    </row>
    <row r="88" customFormat="false" ht="14.25" hidden="false" customHeight="false" outlineLevel="0" collapsed="false">
      <c r="B88" s="22" t="n">
        <v>128</v>
      </c>
      <c r="C88" s="22" t="s">
        <v>732</v>
      </c>
      <c r="D88" s="22" t="s">
        <v>16</v>
      </c>
      <c r="E88" s="22" t="s">
        <v>21</v>
      </c>
      <c r="F88" s="22" t="n">
        <v>50000157</v>
      </c>
      <c r="G88" s="22" t="s">
        <v>120</v>
      </c>
      <c r="H88" s="22" t="s">
        <v>152</v>
      </c>
      <c r="I88" s="22" t="s">
        <v>122</v>
      </c>
      <c r="J88" s="22" t="s">
        <v>688</v>
      </c>
      <c r="K88" s="22" t="s">
        <v>688</v>
      </c>
      <c r="L88" s="22" t="s">
        <v>22</v>
      </c>
      <c r="M88" s="22" t="s">
        <v>153</v>
      </c>
      <c r="N88" s="22" t="s">
        <v>733</v>
      </c>
      <c r="O88" s="22" t="n">
        <v>1001</v>
      </c>
      <c r="P88" s="22" t="s">
        <v>734</v>
      </c>
      <c r="Q88" s="22" t="s">
        <v>127</v>
      </c>
      <c r="R88" s="22" t="s">
        <v>735</v>
      </c>
      <c r="S88" s="22" t="n">
        <v>523155</v>
      </c>
      <c r="T88" s="22" t="n">
        <v>15.825108</v>
      </c>
      <c r="U88" s="22" t="n">
        <v>80.353168</v>
      </c>
      <c r="V88" s="22" t="s">
        <v>129</v>
      </c>
      <c r="W88" s="22" t="n">
        <v>2016</v>
      </c>
      <c r="X88" s="23" t="n">
        <v>42531</v>
      </c>
      <c r="Y88" s="22" t="n">
        <v>900</v>
      </c>
      <c r="Z88" s="22" t="n">
        <v>900</v>
      </c>
      <c r="AA88" s="22" t="s">
        <v>23</v>
      </c>
      <c r="AB88" s="22" t="s">
        <v>692</v>
      </c>
      <c r="AC88" s="22" t="s">
        <v>693</v>
      </c>
      <c r="AD88" s="22" t="s">
        <v>694</v>
      </c>
      <c r="AE88" s="22" t="s">
        <v>736</v>
      </c>
      <c r="AF88" s="22" t="s">
        <v>737</v>
      </c>
      <c r="AG88" s="22" t="s">
        <v>738</v>
      </c>
      <c r="AH88" s="22" t="s">
        <v>473</v>
      </c>
      <c r="AI88" s="22" t="s">
        <v>137</v>
      </c>
      <c r="AJ88" s="22" t="n">
        <v>24</v>
      </c>
      <c r="AK88" s="22" t="n">
        <v>1</v>
      </c>
      <c r="AL88" s="22" t="n">
        <v>2</v>
      </c>
      <c r="AM88" s="22" t="n">
        <f aca="false">AL88+AK88+AJ88</f>
        <v>27</v>
      </c>
      <c r="AN88" s="22" t="n">
        <v>20</v>
      </c>
      <c r="AO88" s="22" t="n">
        <v>6</v>
      </c>
      <c r="AP88" s="22" t="n">
        <f aca="false">AN88+AO88</f>
        <v>26</v>
      </c>
      <c r="AQ88" s="22" t="n">
        <v>0</v>
      </c>
      <c r="AR88" s="22" t="n">
        <v>0</v>
      </c>
      <c r="AS88" s="22" t="n">
        <v>1</v>
      </c>
      <c r="AT88" s="22" t="n">
        <v>0</v>
      </c>
      <c r="AU88" s="22" t="n">
        <v>1</v>
      </c>
      <c r="AV88" s="22" t="n">
        <v>0</v>
      </c>
      <c r="AW88" s="22" t="n">
        <v>0</v>
      </c>
      <c r="AX88" s="22" t="n">
        <v>0</v>
      </c>
      <c r="AY88" s="22" t="s">
        <v>160</v>
      </c>
      <c r="AZ88" s="22" t="s">
        <v>649</v>
      </c>
    </row>
    <row r="89" customFormat="false" ht="14.25" hidden="false" customHeight="false" outlineLevel="0" collapsed="false">
      <c r="B89" s="22" t="n">
        <v>129</v>
      </c>
      <c r="C89" s="22" t="s">
        <v>739</v>
      </c>
      <c r="D89" s="22" t="s">
        <v>16</v>
      </c>
      <c r="E89" s="22" t="s">
        <v>21</v>
      </c>
      <c r="F89" s="22" t="n">
        <v>50001137</v>
      </c>
      <c r="G89" s="22" t="s">
        <v>120</v>
      </c>
      <c r="H89" s="22" t="s">
        <v>141</v>
      </c>
      <c r="I89" s="22" t="s">
        <v>122</v>
      </c>
      <c r="J89" s="22" t="s">
        <v>659</v>
      </c>
      <c r="K89" s="22" t="s">
        <v>659</v>
      </c>
      <c r="L89" s="22" t="s">
        <v>22</v>
      </c>
      <c r="M89" s="22" t="s">
        <v>153</v>
      </c>
      <c r="N89" s="22" t="s">
        <v>740</v>
      </c>
      <c r="O89" s="22" t="n">
        <v>5609</v>
      </c>
      <c r="P89" s="22" t="s">
        <v>741</v>
      </c>
      <c r="Q89" s="22" t="s">
        <v>127</v>
      </c>
      <c r="R89" s="22" t="s">
        <v>742</v>
      </c>
      <c r="S89" s="22" t="n">
        <v>521101</v>
      </c>
      <c r="T89" s="22" t="n">
        <v>16.541582</v>
      </c>
      <c r="U89" s="22" t="n">
        <v>80.804904</v>
      </c>
      <c r="V89" s="22" t="s">
        <v>129</v>
      </c>
      <c r="W89" s="22" t="n">
        <v>2018</v>
      </c>
      <c r="X89" s="23" t="n">
        <v>43160</v>
      </c>
      <c r="Y89" s="22" t="n">
        <v>280</v>
      </c>
      <c r="Z89" s="22" t="n">
        <v>300</v>
      </c>
      <c r="AA89" s="22" t="s">
        <v>23</v>
      </c>
      <c r="AB89" s="22" t="s">
        <v>692</v>
      </c>
      <c r="AC89" s="22" t="s">
        <v>693</v>
      </c>
      <c r="AD89" s="22" t="s">
        <v>694</v>
      </c>
      <c r="AE89" s="22" t="s">
        <v>743</v>
      </c>
      <c r="AF89" s="22" t="s">
        <v>744</v>
      </c>
      <c r="AG89" s="22" t="s">
        <v>745</v>
      </c>
      <c r="AH89" s="22" t="s">
        <v>473</v>
      </c>
      <c r="AI89" s="22" t="s">
        <v>746</v>
      </c>
      <c r="AJ89" s="22" t="n">
        <v>4</v>
      </c>
      <c r="AK89" s="22" t="n">
        <v>1</v>
      </c>
      <c r="AL89" s="22" t="n">
        <v>0</v>
      </c>
      <c r="AM89" s="22" t="n">
        <f aca="false">AL89+AK89+AJ89</f>
        <v>5</v>
      </c>
      <c r="AN89" s="22" t="n">
        <v>5</v>
      </c>
      <c r="AO89" s="22" t="n">
        <v>1</v>
      </c>
      <c r="AP89" s="22" t="n">
        <f aca="false">AN89+AO89</f>
        <v>6</v>
      </c>
      <c r="AQ89" s="22" t="n">
        <v>0</v>
      </c>
      <c r="AR89" s="22" t="n">
        <v>0</v>
      </c>
      <c r="AS89" s="22" t="n">
        <v>1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s">
        <v>138</v>
      </c>
      <c r="AZ89" s="22" t="s">
        <v>747</v>
      </c>
    </row>
    <row r="90" customFormat="false" ht="14.25" hidden="false" customHeight="false" outlineLevel="0" collapsed="false">
      <c r="B90" s="22" t="n">
        <v>130</v>
      </c>
      <c r="C90" s="22" t="s">
        <v>748</v>
      </c>
      <c r="D90" s="22" t="s">
        <v>16</v>
      </c>
      <c r="E90" s="22" t="s">
        <v>21</v>
      </c>
      <c r="F90" s="22" t="n">
        <v>50000908</v>
      </c>
      <c r="G90" s="22" t="s">
        <v>120</v>
      </c>
      <c r="H90" s="22" t="s">
        <v>121</v>
      </c>
      <c r="I90" s="22" t="s">
        <v>122</v>
      </c>
      <c r="J90" s="22" t="s">
        <v>688</v>
      </c>
      <c r="K90" s="22" t="s">
        <v>688</v>
      </c>
      <c r="L90" s="22" t="s">
        <v>22</v>
      </c>
      <c r="M90" s="22" t="s">
        <v>124</v>
      </c>
      <c r="N90" s="22" t="s">
        <v>749</v>
      </c>
      <c r="O90" s="22" t="n">
        <v>2644</v>
      </c>
      <c r="P90" s="22" t="s">
        <v>750</v>
      </c>
      <c r="Q90" s="22" t="s">
        <v>127</v>
      </c>
      <c r="R90" s="22" t="s">
        <v>751</v>
      </c>
      <c r="S90" s="22" t="n">
        <v>523357</v>
      </c>
      <c r="T90" s="22" t="n">
        <v>15.376728</v>
      </c>
      <c r="U90" s="22" t="n">
        <v>78.92452</v>
      </c>
      <c r="V90" s="22" t="s">
        <v>129</v>
      </c>
      <c r="W90" s="22" t="n">
        <v>2017</v>
      </c>
      <c r="X90" s="23" t="n">
        <v>42856</v>
      </c>
      <c r="Y90" s="22" t="n">
        <v>1200</v>
      </c>
      <c r="Z90" s="22" t="n">
        <v>1200</v>
      </c>
      <c r="AA90" s="22" t="s">
        <v>23</v>
      </c>
      <c r="AB90" s="22" t="s">
        <v>692</v>
      </c>
      <c r="AC90" s="22" t="s">
        <v>693</v>
      </c>
      <c r="AD90" s="22" t="s">
        <v>694</v>
      </c>
      <c r="AE90" s="22" t="s">
        <v>752</v>
      </c>
      <c r="AF90" s="22" t="s">
        <v>753</v>
      </c>
      <c r="AG90" s="22" t="s">
        <v>754</v>
      </c>
      <c r="AH90" s="22" t="s">
        <v>473</v>
      </c>
      <c r="AI90" s="22" t="s">
        <v>137</v>
      </c>
      <c r="AJ90" s="22" t="n">
        <v>10</v>
      </c>
      <c r="AK90" s="22" t="n">
        <v>1</v>
      </c>
      <c r="AL90" s="22" t="n">
        <v>0</v>
      </c>
      <c r="AM90" s="22" t="n">
        <f aca="false">AL90+AK90+AJ90</f>
        <v>11</v>
      </c>
      <c r="AN90" s="22" t="n">
        <v>7</v>
      </c>
      <c r="AO90" s="22" t="n">
        <v>3</v>
      </c>
      <c r="AP90" s="22" t="n">
        <f aca="false">AN90+AO90</f>
        <v>10</v>
      </c>
      <c r="AQ90" s="22" t="n">
        <v>0</v>
      </c>
      <c r="AR90" s="22" t="n">
        <v>0</v>
      </c>
      <c r="AS90" s="22" t="n">
        <v>1</v>
      </c>
      <c r="AT90" s="22" t="n">
        <v>0</v>
      </c>
      <c r="AU90" s="22" t="n">
        <v>1</v>
      </c>
      <c r="AV90" s="22" t="n">
        <v>0</v>
      </c>
      <c r="AW90" s="22" t="n">
        <v>0</v>
      </c>
      <c r="AX90" s="22" t="n">
        <v>0</v>
      </c>
      <c r="AY90" s="22" t="s">
        <v>138</v>
      </c>
      <c r="AZ90" s="22" t="s">
        <v>755</v>
      </c>
    </row>
    <row r="91" customFormat="false" ht="14.25" hidden="false" customHeight="false" outlineLevel="0" collapsed="false">
      <c r="B91" s="22" t="n">
        <v>131</v>
      </c>
      <c r="C91" s="22" t="s">
        <v>717</v>
      </c>
      <c r="D91" s="22" t="s">
        <v>16</v>
      </c>
      <c r="E91" s="22" t="s">
        <v>21</v>
      </c>
      <c r="F91" s="22" t="n">
        <v>50000249</v>
      </c>
      <c r="G91" s="22" t="s">
        <v>120</v>
      </c>
      <c r="H91" s="22" t="s">
        <v>207</v>
      </c>
      <c r="I91" s="22" t="s">
        <v>122</v>
      </c>
      <c r="J91" s="22" t="s">
        <v>717</v>
      </c>
      <c r="K91" s="22" t="s">
        <v>717</v>
      </c>
      <c r="L91" s="22" t="s">
        <v>22</v>
      </c>
      <c r="M91" s="22" t="s">
        <v>153</v>
      </c>
      <c r="N91" s="22" t="s">
        <v>756</v>
      </c>
      <c r="O91" s="22" t="n">
        <v>401</v>
      </c>
      <c r="P91" s="22" t="n">
        <v>443</v>
      </c>
      <c r="Q91" s="22" t="s">
        <v>165</v>
      </c>
      <c r="R91" s="22" t="s">
        <v>757</v>
      </c>
      <c r="S91" s="22" t="n">
        <v>522002</v>
      </c>
      <c r="T91" s="22" t="n">
        <v>16.298187</v>
      </c>
      <c r="U91" s="22" t="n">
        <v>80.449021</v>
      </c>
      <c r="V91" s="22" t="s">
        <v>129</v>
      </c>
      <c r="W91" s="22" t="n">
        <v>2017</v>
      </c>
      <c r="X91" s="23" t="n">
        <v>42936</v>
      </c>
      <c r="Y91" s="22" t="n">
        <v>3600</v>
      </c>
      <c r="Z91" s="22" t="n">
        <v>3600</v>
      </c>
      <c r="AA91" s="22" t="s">
        <v>23</v>
      </c>
      <c r="AB91" s="22" t="s">
        <v>692</v>
      </c>
      <c r="AC91" s="22" t="s">
        <v>693</v>
      </c>
      <c r="AD91" s="22" t="s">
        <v>694</v>
      </c>
      <c r="AE91" s="22" t="s">
        <v>758</v>
      </c>
      <c r="AF91" s="22" t="s">
        <v>759</v>
      </c>
      <c r="AG91" s="22" t="s">
        <v>760</v>
      </c>
      <c r="AH91" s="22" t="s">
        <v>473</v>
      </c>
      <c r="AI91" s="22" t="s">
        <v>314</v>
      </c>
      <c r="AJ91" s="22" t="n">
        <v>51</v>
      </c>
      <c r="AK91" s="22" t="n">
        <v>3</v>
      </c>
      <c r="AL91" s="22" t="n">
        <v>2</v>
      </c>
      <c r="AM91" s="22" t="n">
        <f aca="false">AL91+AK91+AJ91</f>
        <v>56</v>
      </c>
      <c r="AN91" s="22" t="n">
        <v>70</v>
      </c>
      <c r="AO91" s="22" t="n">
        <v>35</v>
      </c>
      <c r="AP91" s="22" t="n">
        <f aca="false">AN91+AO91</f>
        <v>105</v>
      </c>
      <c r="AQ91" s="22" t="n">
        <v>2</v>
      </c>
      <c r="AR91" s="22" t="n">
        <v>0</v>
      </c>
      <c r="AS91" s="22" t="n">
        <v>2</v>
      </c>
      <c r="AT91" s="22" t="n">
        <v>1</v>
      </c>
      <c r="AU91" s="22" t="n">
        <v>2</v>
      </c>
      <c r="AV91" s="22" t="n">
        <v>1</v>
      </c>
      <c r="AW91" s="22" t="n">
        <v>0</v>
      </c>
      <c r="AX91" s="22" t="n">
        <v>0</v>
      </c>
      <c r="AY91" s="22" t="s">
        <v>160</v>
      </c>
      <c r="AZ91" s="22" t="s">
        <v>649</v>
      </c>
    </row>
    <row r="92" customFormat="false" ht="14.25" hidden="false" customHeight="false" outlineLevel="0" collapsed="false">
      <c r="B92" s="22" t="n">
        <v>132</v>
      </c>
      <c r="C92" s="22" t="s">
        <v>761</v>
      </c>
      <c r="D92" s="22" t="s">
        <v>16</v>
      </c>
      <c r="E92" s="22" t="s">
        <v>21</v>
      </c>
      <c r="F92" s="22" t="n">
        <v>50007159</v>
      </c>
      <c r="G92" s="22" t="s">
        <v>162</v>
      </c>
      <c r="H92" s="22" t="s">
        <v>163</v>
      </c>
      <c r="I92" s="22" t="s">
        <v>122</v>
      </c>
      <c r="J92" s="22" t="s">
        <v>717</v>
      </c>
      <c r="K92" s="22" t="s">
        <v>717</v>
      </c>
      <c r="L92" s="22" t="s">
        <v>22</v>
      </c>
      <c r="M92" s="22" t="s">
        <v>153</v>
      </c>
      <c r="N92" s="22" t="s">
        <v>756</v>
      </c>
      <c r="O92" s="22" t="n">
        <v>401</v>
      </c>
      <c r="P92" s="22" t="s">
        <v>762</v>
      </c>
      <c r="Q92" s="22" t="s">
        <v>165</v>
      </c>
      <c r="R92" s="22" t="s">
        <v>763</v>
      </c>
      <c r="S92" s="22" t="n">
        <v>522001</v>
      </c>
      <c r="T92" s="22" t="n">
        <v>16.298187</v>
      </c>
      <c r="U92" s="22" t="n">
        <v>80.449021</v>
      </c>
      <c r="V92" s="22" t="s">
        <v>129</v>
      </c>
      <c r="W92" s="22" t="n">
        <v>2022</v>
      </c>
      <c r="X92" s="23" t="n">
        <v>44725</v>
      </c>
      <c r="Y92" s="22" t="n">
        <v>3600</v>
      </c>
      <c r="Z92" s="22" t="n">
        <v>3600</v>
      </c>
      <c r="AA92" s="22" t="s">
        <v>23</v>
      </c>
      <c r="AB92" s="22" t="s">
        <v>692</v>
      </c>
      <c r="AC92" s="22" t="s">
        <v>693</v>
      </c>
      <c r="AD92" s="22" t="s">
        <v>694</v>
      </c>
      <c r="AE92" s="22" t="s">
        <v>764</v>
      </c>
      <c r="AF92" s="22" t="s">
        <v>765</v>
      </c>
      <c r="AG92" s="22" t="s">
        <v>766</v>
      </c>
      <c r="AH92" s="22" t="s">
        <v>493</v>
      </c>
      <c r="AI92" s="22" t="s">
        <v>314</v>
      </c>
      <c r="AJ92" s="22" t="n">
        <v>64</v>
      </c>
      <c r="AK92" s="22" t="n">
        <v>0</v>
      </c>
      <c r="AL92" s="22" t="n">
        <v>0</v>
      </c>
      <c r="AM92" s="22" t="n">
        <f aca="false">AL92+AK92+AJ92</f>
        <v>64</v>
      </c>
      <c r="AN92" s="22" t="n">
        <v>60</v>
      </c>
      <c r="AO92" s="22" t="n">
        <v>25</v>
      </c>
      <c r="AP92" s="22" t="n">
        <f aca="false">AN92+AO92</f>
        <v>85</v>
      </c>
      <c r="AQ92" s="22" t="n">
        <v>3</v>
      </c>
      <c r="AR92" s="22" t="n">
        <v>0</v>
      </c>
      <c r="AS92" s="22" t="n">
        <v>2</v>
      </c>
      <c r="AT92" s="22" t="n">
        <v>0</v>
      </c>
      <c r="AU92" s="22" t="n">
        <v>2</v>
      </c>
      <c r="AV92" s="22" t="n">
        <v>1</v>
      </c>
      <c r="AW92" s="22" t="n">
        <v>0</v>
      </c>
      <c r="AX92" s="22" t="n">
        <v>0</v>
      </c>
      <c r="AY92" s="22" t="s">
        <v>160</v>
      </c>
      <c r="AZ92" s="22" t="s">
        <v>656</v>
      </c>
    </row>
    <row r="93" customFormat="false" ht="14.25" hidden="false" customHeight="false" outlineLevel="0" collapsed="false">
      <c r="B93" s="22" t="n">
        <v>133</v>
      </c>
      <c r="C93" s="22" t="s">
        <v>767</v>
      </c>
      <c r="D93" s="22" t="s">
        <v>16</v>
      </c>
      <c r="E93" s="22" t="s">
        <v>21</v>
      </c>
      <c r="F93" s="22" t="n">
        <v>50005291</v>
      </c>
      <c r="G93" s="22" t="s">
        <v>120</v>
      </c>
      <c r="H93" s="22" t="s">
        <v>141</v>
      </c>
      <c r="I93" s="22" t="s">
        <v>122</v>
      </c>
      <c r="J93" s="22" t="s">
        <v>659</v>
      </c>
      <c r="K93" s="22" t="s">
        <v>659</v>
      </c>
      <c r="L93" s="22" t="s">
        <v>22</v>
      </c>
      <c r="M93" s="22" t="s">
        <v>124</v>
      </c>
      <c r="N93" s="22" t="s">
        <v>768</v>
      </c>
      <c r="O93" s="22" t="n">
        <v>12271</v>
      </c>
      <c r="P93" s="22" t="s">
        <v>769</v>
      </c>
      <c r="Q93" s="22" t="s">
        <v>127</v>
      </c>
      <c r="R93" s="22" t="s">
        <v>770</v>
      </c>
      <c r="S93" s="22" t="n">
        <v>521105</v>
      </c>
      <c r="T93" s="22" t="n">
        <v>16.5776462</v>
      </c>
      <c r="U93" s="22" t="n">
        <v>80.6293494</v>
      </c>
      <c r="V93" s="22" t="s">
        <v>129</v>
      </c>
      <c r="W93" s="22" t="n">
        <v>2023</v>
      </c>
      <c r="X93" s="23" t="n">
        <v>45261</v>
      </c>
      <c r="Y93" s="22" t="n">
        <v>1000</v>
      </c>
      <c r="Z93" s="22" t="n">
        <v>1000</v>
      </c>
      <c r="AA93" s="22" t="s">
        <v>23</v>
      </c>
      <c r="AB93" s="22" t="s">
        <v>692</v>
      </c>
      <c r="AC93" s="22" t="s">
        <v>693</v>
      </c>
      <c r="AD93" s="22" t="s">
        <v>694</v>
      </c>
      <c r="AE93" s="22" t="s">
        <v>771</v>
      </c>
      <c r="AF93" s="22" t="s">
        <v>772</v>
      </c>
      <c r="AG93" s="22" t="s">
        <v>773</v>
      </c>
      <c r="AH93" s="22" t="s">
        <v>473</v>
      </c>
      <c r="AI93" s="22" t="s">
        <v>137</v>
      </c>
      <c r="AJ93" s="22" t="n">
        <v>4</v>
      </c>
      <c r="AK93" s="22" t="n">
        <v>1</v>
      </c>
      <c r="AL93" s="22" t="n">
        <v>0</v>
      </c>
      <c r="AM93" s="22" t="n">
        <f aca="false">AL93+AK93+AJ93</f>
        <v>5</v>
      </c>
      <c r="AN93" s="22" t="n">
        <v>2</v>
      </c>
      <c r="AO93" s="22" t="n">
        <v>2</v>
      </c>
      <c r="AP93" s="22" t="n">
        <f aca="false">AN93+AO93</f>
        <v>4</v>
      </c>
      <c r="AQ93" s="22" t="n">
        <v>1</v>
      </c>
      <c r="AR93" s="22" t="n">
        <v>0</v>
      </c>
      <c r="AS93" s="22" t="n">
        <v>1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s">
        <v>138</v>
      </c>
      <c r="AZ93" s="22" t="s">
        <v>774</v>
      </c>
    </row>
    <row r="94" customFormat="false" ht="14.25" hidden="false" customHeight="false" outlineLevel="0" collapsed="false">
      <c r="B94" s="22" t="n">
        <v>134</v>
      </c>
      <c r="C94" s="22" t="s">
        <v>775</v>
      </c>
      <c r="D94" s="22" t="s">
        <v>16</v>
      </c>
      <c r="E94" s="22" t="s">
        <v>21</v>
      </c>
      <c r="F94" s="22" t="n">
        <v>50001025</v>
      </c>
      <c r="G94" s="22" t="s">
        <v>120</v>
      </c>
      <c r="H94" s="22" t="s">
        <v>121</v>
      </c>
      <c r="I94" s="22" t="s">
        <v>122</v>
      </c>
      <c r="J94" s="22" t="s">
        <v>659</v>
      </c>
      <c r="K94" s="22" t="s">
        <v>659</v>
      </c>
      <c r="L94" s="22" t="s">
        <v>22</v>
      </c>
      <c r="M94" s="22" t="s">
        <v>124</v>
      </c>
      <c r="N94" s="22" t="s">
        <v>776</v>
      </c>
      <c r="O94" s="22" t="n">
        <v>905</v>
      </c>
      <c r="P94" s="22" t="s">
        <v>777</v>
      </c>
      <c r="Q94" s="22" t="s">
        <v>127</v>
      </c>
      <c r="R94" s="22" t="s">
        <v>778</v>
      </c>
      <c r="S94" s="22" t="n">
        <v>521175</v>
      </c>
      <c r="T94" s="22" t="n">
        <v>16.8937</v>
      </c>
      <c r="U94" s="22" t="n">
        <v>80.097542</v>
      </c>
      <c r="V94" s="22" t="s">
        <v>129</v>
      </c>
      <c r="W94" s="22" t="n">
        <v>2017</v>
      </c>
      <c r="X94" s="23" t="n">
        <v>43070</v>
      </c>
      <c r="Y94" s="22" t="n">
        <v>1600</v>
      </c>
      <c r="Z94" s="22" t="n">
        <v>1400</v>
      </c>
      <c r="AA94" s="22" t="s">
        <v>23</v>
      </c>
      <c r="AB94" s="22" t="s">
        <v>692</v>
      </c>
      <c r="AC94" s="22" t="s">
        <v>693</v>
      </c>
      <c r="AD94" s="22" t="s">
        <v>694</v>
      </c>
      <c r="AE94" s="22" t="s">
        <v>779</v>
      </c>
      <c r="AF94" s="22" t="s">
        <v>780</v>
      </c>
      <c r="AG94" s="22" t="s">
        <v>781</v>
      </c>
      <c r="AH94" s="22" t="s">
        <v>473</v>
      </c>
      <c r="AI94" s="22" t="s">
        <v>137</v>
      </c>
      <c r="AJ94" s="22" t="n">
        <v>18</v>
      </c>
      <c r="AK94" s="22" t="n">
        <v>1</v>
      </c>
      <c r="AL94" s="22" t="n">
        <v>1</v>
      </c>
      <c r="AM94" s="22" t="n">
        <f aca="false">AL94+AK94+AJ94</f>
        <v>20</v>
      </c>
      <c r="AN94" s="22" t="n">
        <v>17</v>
      </c>
      <c r="AO94" s="22" t="n">
        <v>25</v>
      </c>
      <c r="AP94" s="22" t="n">
        <f aca="false">AN94+AO94</f>
        <v>42</v>
      </c>
      <c r="AQ94" s="22" t="n">
        <v>0</v>
      </c>
      <c r="AR94" s="22" t="n">
        <v>0</v>
      </c>
      <c r="AS94" s="22" t="n">
        <v>1</v>
      </c>
      <c r="AT94" s="22" t="n">
        <v>0</v>
      </c>
      <c r="AU94" s="22" t="n">
        <v>1</v>
      </c>
      <c r="AV94" s="22" t="n">
        <v>0</v>
      </c>
      <c r="AW94" s="22" t="n">
        <v>0</v>
      </c>
      <c r="AX94" s="22" t="n">
        <v>0</v>
      </c>
      <c r="AY94" s="22" t="s">
        <v>160</v>
      </c>
      <c r="AZ94" s="22" t="s">
        <v>782</v>
      </c>
    </row>
    <row r="95" customFormat="false" ht="14.25" hidden="false" customHeight="false" outlineLevel="0" collapsed="false">
      <c r="B95" s="22" t="n">
        <v>135</v>
      </c>
      <c r="C95" s="22" t="s">
        <v>783</v>
      </c>
      <c r="D95" s="22" t="s">
        <v>16</v>
      </c>
      <c r="E95" s="22" t="s">
        <v>21</v>
      </c>
      <c r="F95" s="22" t="n">
        <v>50001136</v>
      </c>
      <c r="G95" s="22" t="s">
        <v>120</v>
      </c>
      <c r="H95" s="22" t="s">
        <v>141</v>
      </c>
      <c r="I95" s="22" t="s">
        <v>122</v>
      </c>
      <c r="J95" s="22" t="s">
        <v>659</v>
      </c>
      <c r="K95" s="22" t="s">
        <v>659</v>
      </c>
      <c r="L95" s="22" t="s">
        <v>22</v>
      </c>
      <c r="M95" s="22" t="s">
        <v>153</v>
      </c>
      <c r="N95" s="22" t="s">
        <v>784</v>
      </c>
      <c r="O95" s="22" t="n">
        <v>5610</v>
      </c>
      <c r="P95" s="22" t="s">
        <v>785</v>
      </c>
      <c r="Q95" s="22" t="s">
        <v>165</v>
      </c>
      <c r="R95" s="22" t="s">
        <v>786</v>
      </c>
      <c r="S95" s="22" t="n">
        <v>521228</v>
      </c>
      <c r="T95" s="22" t="n">
        <v>16.615983</v>
      </c>
      <c r="U95" s="22" t="n">
        <v>80.540527</v>
      </c>
      <c r="V95" s="22" t="s">
        <v>129</v>
      </c>
      <c r="W95" s="22" t="n">
        <v>2018</v>
      </c>
      <c r="X95" s="23" t="n">
        <v>43160</v>
      </c>
      <c r="Y95" s="22" t="n">
        <v>460</v>
      </c>
      <c r="Z95" s="22" t="n">
        <v>500</v>
      </c>
      <c r="AA95" s="22" t="s">
        <v>23</v>
      </c>
      <c r="AB95" s="22" t="s">
        <v>692</v>
      </c>
      <c r="AC95" s="22" t="s">
        <v>693</v>
      </c>
      <c r="AD95" s="22" t="s">
        <v>694</v>
      </c>
      <c r="AE95" s="22" t="s">
        <v>787</v>
      </c>
      <c r="AF95" s="22" t="s">
        <v>788</v>
      </c>
      <c r="AG95" s="22" t="s">
        <v>789</v>
      </c>
      <c r="AH95" s="22" t="s">
        <v>473</v>
      </c>
      <c r="AI95" s="22" t="s">
        <v>137</v>
      </c>
      <c r="AJ95" s="22" t="n">
        <v>4</v>
      </c>
      <c r="AK95" s="22" t="n">
        <v>1</v>
      </c>
      <c r="AL95" s="22" t="n">
        <v>0</v>
      </c>
      <c r="AM95" s="22" t="n">
        <f aca="false">AL95+AK95+AJ95</f>
        <v>5</v>
      </c>
      <c r="AN95" s="22" t="n">
        <v>6</v>
      </c>
      <c r="AO95" s="22" t="n">
        <v>1</v>
      </c>
      <c r="AP95" s="22" t="n">
        <f aca="false">AN95+AO95</f>
        <v>7</v>
      </c>
      <c r="AQ95" s="22" t="n">
        <v>0</v>
      </c>
      <c r="AR95" s="22" t="n">
        <v>0</v>
      </c>
      <c r="AS95" s="22" t="n">
        <v>1</v>
      </c>
      <c r="AT95" s="22" t="n">
        <v>0</v>
      </c>
      <c r="AU95" s="22" t="n">
        <v>0</v>
      </c>
      <c r="AV95" s="22" t="n">
        <v>0</v>
      </c>
      <c r="AW95" s="22" t="n">
        <v>0</v>
      </c>
      <c r="AX95" s="22" t="n">
        <v>0</v>
      </c>
      <c r="AY95" s="22" t="s">
        <v>138</v>
      </c>
      <c r="AZ95" s="22" t="s">
        <v>747</v>
      </c>
    </row>
    <row r="96" customFormat="false" ht="14.25" hidden="false" customHeight="false" outlineLevel="0" collapsed="false">
      <c r="B96" s="22" t="n">
        <v>136</v>
      </c>
      <c r="C96" s="22" t="s">
        <v>700</v>
      </c>
      <c r="D96" s="22" t="s">
        <v>16</v>
      </c>
      <c r="E96" s="22" t="s">
        <v>21</v>
      </c>
      <c r="F96" s="22" t="n">
        <v>50000401</v>
      </c>
      <c r="G96" s="22" t="s">
        <v>120</v>
      </c>
      <c r="H96" s="22" t="s">
        <v>207</v>
      </c>
      <c r="I96" s="22" t="s">
        <v>122</v>
      </c>
      <c r="J96" s="22" t="s">
        <v>700</v>
      </c>
      <c r="K96" s="22" t="s">
        <v>700</v>
      </c>
      <c r="L96" s="22" t="s">
        <v>22</v>
      </c>
      <c r="M96" s="22" t="s">
        <v>153</v>
      </c>
      <c r="N96" s="22" t="s">
        <v>790</v>
      </c>
      <c r="O96" s="22" t="n">
        <v>359</v>
      </c>
      <c r="P96" s="22" t="n">
        <v>482</v>
      </c>
      <c r="Q96" s="22" t="s">
        <v>165</v>
      </c>
      <c r="R96" s="22" t="s">
        <v>791</v>
      </c>
      <c r="S96" s="22" t="n">
        <v>518001</v>
      </c>
      <c r="T96" s="22" t="n">
        <v>15.829383</v>
      </c>
      <c r="U96" s="22" t="n">
        <v>78.041269</v>
      </c>
      <c r="V96" s="22" t="s">
        <v>129</v>
      </c>
      <c r="W96" s="22" t="n">
        <v>2018</v>
      </c>
      <c r="X96" s="23" t="n">
        <v>43146</v>
      </c>
      <c r="Y96" s="22" t="n">
        <v>2500</v>
      </c>
      <c r="Z96" s="22" t="n">
        <v>2500</v>
      </c>
      <c r="AA96" s="22" t="s">
        <v>23</v>
      </c>
      <c r="AB96" s="22" t="s">
        <v>692</v>
      </c>
      <c r="AC96" s="22" t="s">
        <v>693</v>
      </c>
      <c r="AD96" s="22" t="s">
        <v>694</v>
      </c>
      <c r="AE96" s="22" t="s">
        <v>792</v>
      </c>
      <c r="AF96" s="22" t="s">
        <v>793</v>
      </c>
      <c r="AG96" s="22" t="s">
        <v>794</v>
      </c>
      <c r="AH96" s="22" t="s">
        <v>230</v>
      </c>
      <c r="AI96" s="22" t="s">
        <v>314</v>
      </c>
      <c r="AJ96" s="22" t="n">
        <v>66</v>
      </c>
      <c r="AK96" s="22" t="n">
        <v>2</v>
      </c>
      <c r="AL96" s="22" t="n">
        <v>2</v>
      </c>
      <c r="AM96" s="22" t="n">
        <f aca="false">AL96+AK96+AJ96</f>
        <v>70</v>
      </c>
      <c r="AN96" s="22" t="n">
        <v>80</v>
      </c>
      <c r="AO96" s="22" t="n">
        <v>15</v>
      </c>
      <c r="AP96" s="22" t="n">
        <f aca="false">AN96+AO96</f>
        <v>95</v>
      </c>
      <c r="AQ96" s="22" t="n">
        <v>2</v>
      </c>
      <c r="AR96" s="22" t="n">
        <v>0</v>
      </c>
      <c r="AS96" s="22" t="n">
        <v>3</v>
      </c>
      <c r="AT96" s="22" t="n">
        <v>1</v>
      </c>
      <c r="AU96" s="22" t="n">
        <v>3</v>
      </c>
      <c r="AV96" s="22" t="n">
        <v>1</v>
      </c>
      <c r="AW96" s="22" t="n">
        <v>0</v>
      </c>
      <c r="AX96" s="22" t="n">
        <v>0</v>
      </c>
      <c r="AY96" s="22" t="s">
        <v>160</v>
      </c>
      <c r="AZ96" s="22" t="s">
        <v>649</v>
      </c>
    </row>
    <row r="97" customFormat="false" ht="14.25" hidden="false" customHeight="false" outlineLevel="0" collapsed="false">
      <c r="B97" s="22" t="n">
        <v>137</v>
      </c>
      <c r="C97" s="22" t="s">
        <v>795</v>
      </c>
      <c r="D97" s="22" t="s">
        <v>16</v>
      </c>
      <c r="E97" s="22" t="s">
        <v>21</v>
      </c>
      <c r="F97" s="22" t="n">
        <v>50001154</v>
      </c>
      <c r="G97" s="22" t="s">
        <v>120</v>
      </c>
      <c r="H97" s="22" t="s">
        <v>533</v>
      </c>
      <c r="I97" s="22" t="s">
        <v>122</v>
      </c>
      <c r="J97" s="22" t="s">
        <v>717</v>
      </c>
      <c r="K97" s="22" t="s">
        <v>717</v>
      </c>
      <c r="L97" s="22" t="s">
        <v>22</v>
      </c>
      <c r="M97" s="22" t="s">
        <v>153</v>
      </c>
      <c r="N97" s="22" t="s">
        <v>796</v>
      </c>
      <c r="O97" s="22" t="n">
        <v>5611</v>
      </c>
      <c r="P97" s="22" t="s">
        <v>797</v>
      </c>
      <c r="Q97" s="22" t="s">
        <v>127</v>
      </c>
      <c r="R97" s="22" t="s">
        <v>798</v>
      </c>
      <c r="S97" s="22" t="n">
        <v>522503</v>
      </c>
      <c r="T97" s="22" t="n">
        <v>16.428732</v>
      </c>
      <c r="U97" s="22" t="n">
        <v>80.562997</v>
      </c>
      <c r="V97" s="22" t="s">
        <v>129</v>
      </c>
      <c r="W97" s="22" t="n">
        <v>2018</v>
      </c>
      <c r="X97" s="23" t="n">
        <v>43212</v>
      </c>
      <c r="Y97" s="22" t="n">
        <v>1200</v>
      </c>
      <c r="Z97" s="22" t="n">
        <v>1200</v>
      </c>
      <c r="AA97" s="22" t="s">
        <v>23</v>
      </c>
      <c r="AB97" s="22" t="s">
        <v>692</v>
      </c>
      <c r="AC97" s="22" t="s">
        <v>693</v>
      </c>
      <c r="AD97" s="22" t="s">
        <v>694</v>
      </c>
      <c r="AE97" s="22" t="s">
        <v>799</v>
      </c>
      <c r="AF97" s="22" t="s">
        <v>800</v>
      </c>
      <c r="AG97" s="22" t="s">
        <v>801</v>
      </c>
      <c r="AH97" s="22" t="s">
        <v>473</v>
      </c>
      <c r="AI97" s="22" t="s">
        <v>314</v>
      </c>
      <c r="AJ97" s="22" t="n">
        <v>12</v>
      </c>
      <c r="AK97" s="22" t="n">
        <v>1</v>
      </c>
      <c r="AL97" s="22" t="n">
        <v>0</v>
      </c>
      <c r="AM97" s="22" t="n">
        <f aca="false">AL97+AK97+AJ97</f>
        <v>13</v>
      </c>
      <c r="AN97" s="22" t="n">
        <v>9</v>
      </c>
      <c r="AO97" s="22" t="n">
        <v>6</v>
      </c>
      <c r="AP97" s="22" t="n">
        <f aca="false">AN97+AO97</f>
        <v>15</v>
      </c>
      <c r="AQ97" s="22" t="n">
        <v>1</v>
      </c>
      <c r="AR97" s="22" t="n">
        <v>0</v>
      </c>
      <c r="AS97" s="22" t="n">
        <v>1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s">
        <v>160</v>
      </c>
      <c r="AZ97" s="22" t="s">
        <v>802</v>
      </c>
    </row>
    <row r="98" customFormat="false" ht="14.25" hidden="false" customHeight="false" outlineLevel="0" collapsed="false">
      <c r="B98" s="22" t="n">
        <v>138</v>
      </c>
      <c r="C98" s="22" t="s">
        <v>803</v>
      </c>
      <c r="D98" s="22" t="s">
        <v>16</v>
      </c>
      <c r="E98" s="22" t="s">
        <v>21</v>
      </c>
      <c r="F98" s="22" t="n">
        <v>50001030</v>
      </c>
      <c r="G98" s="22" t="s">
        <v>120</v>
      </c>
      <c r="H98" s="22" t="s">
        <v>121</v>
      </c>
      <c r="I98" s="22" t="s">
        <v>122</v>
      </c>
      <c r="J98" s="22" t="s">
        <v>688</v>
      </c>
      <c r="K98" s="22" t="s">
        <v>688</v>
      </c>
      <c r="L98" s="22" t="s">
        <v>22</v>
      </c>
      <c r="M98" s="22" t="s">
        <v>124</v>
      </c>
      <c r="N98" s="22" t="s">
        <v>804</v>
      </c>
      <c r="O98" s="22" t="n">
        <v>4314</v>
      </c>
      <c r="P98" s="22" t="s">
        <v>805</v>
      </c>
      <c r="Q98" s="22" t="s">
        <v>127</v>
      </c>
      <c r="R98" s="22" t="s">
        <v>806</v>
      </c>
      <c r="S98" s="22" t="n">
        <v>523316</v>
      </c>
      <c r="T98" s="22" t="n">
        <v>15.7379333438599</v>
      </c>
      <c r="U98" s="22" t="n">
        <v>79.2666117521469</v>
      </c>
      <c r="V98" s="22" t="s">
        <v>129</v>
      </c>
      <c r="W98" s="22" t="n">
        <v>2017</v>
      </c>
      <c r="X98" s="23" t="n">
        <v>43040</v>
      </c>
      <c r="Y98" s="22" t="n">
        <v>1800</v>
      </c>
      <c r="Z98" s="22" t="n">
        <v>1800</v>
      </c>
      <c r="AA98" s="22" t="s">
        <v>23</v>
      </c>
      <c r="AB98" s="22" t="s">
        <v>692</v>
      </c>
      <c r="AC98" s="22" t="s">
        <v>693</v>
      </c>
      <c r="AD98" s="22" t="s">
        <v>694</v>
      </c>
      <c r="AE98" s="22" t="s">
        <v>807</v>
      </c>
      <c r="AF98" s="22" t="s">
        <v>808</v>
      </c>
      <c r="AG98" s="22" t="s">
        <v>809</v>
      </c>
      <c r="AH98" s="22" t="s">
        <v>473</v>
      </c>
      <c r="AI98" s="22" t="s">
        <v>137</v>
      </c>
      <c r="AJ98" s="22" t="n">
        <v>12</v>
      </c>
      <c r="AK98" s="22" t="n">
        <v>1</v>
      </c>
      <c r="AL98" s="22" t="n">
        <v>1</v>
      </c>
      <c r="AM98" s="22" t="n">
        <f aca="false">AL98+AK98+AJ98</f>
        <v>14</v>
      </c>
      <c r="AN98" s="22" t="n">
        <v>9</v>
      </c>
      <c r="AO98" s="22" t="n">
        <v>5</v>
      </c>
      <c r="AP98" s="22" t="n">
        <f aca="false">AN98+AO98</f>
        <v>14</v>
      </c>
      <c r="AQ98" s="22" t="n">
        <v>0</v>
      </c>
      <c r="AR98" s="22" t="n">
        <v>0</v>
      </c>
      <c r="AS98" s="22" t="n">
        <v>1</v>
      </c>
      <c r="AT98" s="22" t="n">
        <v>0</v>
      </c>
      <c r="AU98" s="22" t="n">
        <v>1</v>
      </c>
      <c r="AV98" s="22" t="n">
        <v>0</v>
      </c>
      <c r="AW98" s="22" t="n">
        <v>0</v>
      </c>
      <c r="AX98" s="22" t="n">
        <v>0</v>
      </c>
      <c r="AY98" s="22" t="s">
        <v>138</v>
      </c>
      <c r="AZ98" s="22" t="s">
        <v>782</v>
      </c>
    </row>
    <row r="99" customFormat="false" ht="14.25" hidden="false" customHeight="false" outlineLevel="0" collapsed="false">
      <c r="B99" s="22" t="n">
        <v>139</v>
      </c>
      <c r="C99" s="22" t="s">
        <v>810</v>
      </c>
      <c r="D99" s="22" t="s">
        <v>16</v>
      </c>
      <c r="E99" s="22" t="s">
        <v>21</v>
      </c>
      <c r="F99" s="22" t="n">
        <v>50001930</v>
      </c>
      <c r="G99" s="22" t="s">
        <v>120</v>
      </c>
      <c r="H99" s="22" t="s">
        <v>141</v>
      </c>
      <c r="I99" s="22" t="s">
        <v>122</v>
      </c>
      <c r="J99" s="22" t="s">
        <v>700</v>
      </c>
      <c r="K99" s="22" t="s">
        <v>700</v>
      </c>
      <c r="L99" s="22" t="s">
        <v>22</v>
      </c>
      <c r="M99" s="22" t="s">
        <v>124</v>
      </c>
      <c r="N99" s="22" t="s">
        <v>811</v>
      </c>
      <c r="O99" s="22" t="n">
        <v>8514</v>
      </c>
      <c r="P99" s="22" t="s">
        <v>812</v>
      </c>
      <c r="Q99" s="22" t="s">
        <v>127</v>
      </c>
      <c r="R99" s="22" t="s">
        <v>813</v>
      </c>
      <c r="S99" s="22" t="n">
        <v>508401</v>
      </c>
      <c r="T99" s="22" t="n">
        <v>15.8557093</v>
      </c>
      <c r="U99" s="22" t="n">
        <v>77.9760976</v>
      </c>
      <c r="V99" s="22" t="s">
        <v>129</v>
      </c>
      <c r="W99" s="22" t="n">
        <v>2020</v>
      </c>
      <c r="X99" s="23" t="n">
        <v>44011</v>
      </c>
      <c r="Y99" s="22" t="n">
        <v>1150</v>
      </c>
      <c r="Z99" s="22" t="n">
        <v>1150</v>
      </c>
      <c r="AA99" s="22" t="s">
        <v>23</v>
      </c>
      <c r="AB99" s="22" t="s">
        <v>692</v>
      </c>
      <c r="AC99" s="22" t="s">
        <v>693</v>
      </c>
      <c r="AD99" s="22" t="s">
        <v>694</v>
      </c>
      <c r="AE99" s="22" t="s">
        <v>814</v>
      </c>
      <c r="AF99" s="22" t="s">
        <v>815</v>
      </c>
      <c r="AG99" s="22" t="s">
        <v>816</v>
      </c>
      <c r="AH99" s="22" t="s">
        <v>473</v>
      </c>
      <c r="AI99" s="22" t="s">
        <v>137</v>
      </c>
      <c r="AJ99" s="22" t="n">
        <v>12</v>
      </c>
      <c r="AK99" s="22" t="n">
        <v>1</v>
      </c>
      <c r="AL99" s="22" t="n">
        <v>0</v>
      </c>
      <c r="AM99" s="22" t="n">
        <f aca="false">AL99+AK99+AJ99</f>
        <v>13</v>
      </c>
      <c r="AN99" s="22" t="n">
        <v>13</v>
      </c>
      <c r="AO99" s="22" t="n">
        <v>3</v>
      </c>
      <c r="AP99" s="22" t="n">
        <f aca="false">AN99+AO99</f>
        <v>16</v>
      </c>
      <c r="AQ99" s="22" t="n">
        <v>1</v>
      </c>
      <c r="AR99" s="22" t="n">
        <v>0</v>
      </c>
      <c r="AS99" s="22" t="n">
        <v>1</v>
      </c>
      <c r="AT99" s="22" t="n">
        <v>0</v>
      </c>
      <c r="AU99" s="22" t="n">
        <v>1</v>
      </c>
      <c r="AV99" s="22" t="n">
        <v>0</v>
      </c>
      <c r="AW99" s="22" t="n">
        <v>0</v>
      </c>
      <c r="AX99" s="22" t="n">
        <v>0</v>
      </c>
      <c r="AY99" s="22" t="s">
        <v>138</v>
      </c>
      <c r="AZ99" s="22" t="s">
        <v>715</v>
      </c>
    </row>
    <row r="100" customFormat="false" ht="14.25" hidden="false" customHeight="false" outlineLevel="0" collapsed="false">
      <c r="B100" s="22" t="n">
        <v>140</v>
      </c>
      <c r="C100" s="22" t="s">
        <v>817</v>
      </c>
      <c r="D100" s="22" t="s">
        <v>16</v>
      </c>
      <c r="E100" s="22" t="s">
        <v>21</v>
      </c>
      <c r="F100" s="22" t="n">
        <v>50000494</v>
      </c>
      <c r="G100" s="22" t="s">
        <v>120</v>
      </c>
      <c r="H100" s="22" t="s">
        <v>207</v>
      </c>
      <c r="I100" s="22" t="s">
        <v>122</v>
      </c>
      <c r="J100" s="22" t="s">
        <v>700</v>
      </c>
      <c r="K100" s="22" t="s">
        <v>817</v>
      </c>
      <c r="L100" s="22" t="s">
        <v>22</v>
      </c>
      <c r="M100" s="22" t="s">
        <v>153</v>
      </c>
      <c r="N100" s="22" t="s">
        <v>818</v>
      </c>
      <c r="O100" s="22" t="n">
        <v>289</v>
      </c>
      <c r="P100" s="22" t="s">
        <v>819</v>
      </c>
      <c r="Q100" s="22" t="s">
        <v>127</v>
      </c>
      <c r="R100" s="22" t="s">
        <v>820</v>
      </c>
      <c r="S100" s="22" t="n">
        <v>518501</v>
      </c>
      <c r="T100" s="22" t="n">
        <v>15.48425</v>
      </c>
      <c r="U100" s="22" t="n">
        <v>78.4713276</v>
      </c>
      <c r="V100" s="22" t="s">
        <v>129</v>
      </c>
      <c r="W100" s="22" t="n">
        <v>2019</v>
      </c>
      <c r="X100" s="23" t="n">
        <v>43672</v>
      </c>
      <c r="Y100" s="22" t="n">
        <v>1500</v>
      </c>
      <c r="Z100" s="22" t="n">
        <v>1500</v>
      </c>
      <c r="AA100" s="22" t="s">
        <v>23</v>
      </c>
      <c r="AB100" s="22" t="s">
        <v>692</v>
      </c>
      <c r="AC100" s="22" t="s">
        <v>693</v>
      </c>
      <c r="AD100" s="22" t="s">
        <v>694</v>
      </c>
      <c r="AE100" s="22" t="s">
        <v>821</v>
      </c>
      <c r="AF100" s="22" t="s">
        <v>822</v>
      </c>
      <c r="AG100" s="22" t="s">
        <v>823</v>
      </c>
      <c r="AH100" s="22" t="s">
        <v>473</v>
      </c>
      <c r="AI100" s="22" t="s">
        <v>137</v>
      </c>
      <c r="AJ100" s="22" t="n">
        <v>25</v>
      </c>
      <c r="AK100" s="22" t="n">
        <v>2</v>
      </c>
      <c r="AL100" s="22" t="n">
        <v>2</v>
      </c>
      <c r="AM100" s="22" t="n">
        <f aca="false">AL100+AK100+AJ100</f>
        <v>29</v>
      </c>
      <c r="AN100" s="22" t="n">
        <v>27</v>
      </c>
      <c r="AO100" s="22" t="n">
        <v>2</v>
      </c>
      <c r="AP100" s="22" t="n">
        <f aca="false">AN100+AO100</f>
        <v>29</v>
      </c>
      <c r="AQ100" s="22" t="n">
        <v>1</v>
      </c>
      <c r="AR100" s="22" t="n">
        <v>0</v>
      </c>
      <c r="AS100" s="22" t="n">
        <v>1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s">
        <v>160</v>
      </c>
      <c r="AZ100" s="22" t="s">
        <v>649</v>
      </c>
    </row>
    <row r="101" customFormat="false" ht="14.25" hidden="false" customHeight="false" outlineLevel="0" collapsed="false">
      <c r="B101" s="22" t="n">
        <v>141</v>
      </c>
      <c r="C101" s="22" t="s">
        <v>824</v>
      </c>
      <c r="D101" s="22" t="s">
        <v>16</v>
      </c>
      <c r="E101" s="22" t="s">
        <v>21</v>
      </c>
      <c r="F101" s="22" t="n">
        <v>50000495</v>
      </c>
      <c r="G101" s="22" t="s">
        <v>120</v>
      </c>
      <c r="H101" s="22" t="s">
        <v>152</v>
      </c>
      <c r="I101" s="22" t="s">
        <v>122</v>
      </c>
      <c r="J101" s="22" t="s">
        <v>717</v>
      </c>
      <c r="K101" s="22" t="s">
        <v>825</v>
      </c>
      <c r="L101" s="22" t="s">
        <v>22</v>
      </c>
      <c r="M101" s="22" t="s">
        <v>153</v>
      </c>
      <c r="N101" s="22" t="s">
        <v>826</v>
      </c>
      <c r="O101" s="22" t="n">
        <v>1125</v>
      </c>
      <c r="P101" s="22" t="s">
        <v>827</v>
      </c>
      <c r="Q101" s="22" t="s">
        <v>127</v>
      </c>
      <c r="R101" s="22" t="s">
        <v>828</v>
      </c>
      <c r="S101" s="22" t="n">
        <v>522601</v>
      </c>
      <c r="T101" s="22" t="n">
        <v>16.2322402</v>
      </c>
      <c r="U101" s="22" t="n">
        <v>80.0400904</v>
      </c>
      <c r="V101" s="22" t="s">
        <v>129</v>
      </c>
      <c r="W101" s="22" t="n">
        <v>2016</v>
      </c>
      <c r="X101" s="23" t="n">
        <v>42508</v>
      </c>
      <c r="Y101" s="22" t="n">
        <v>2000</v>
      </c>
      <c r="Z101" s="22" t="n">
        <v>2000</v>
      </c>
      <c r="AA101" s="22" t="s">
        <v>23</v>
      </c>
      <c r="AB101" s="22" t="s">
        <v>692</v>
      </c>
      <c r="AC101" s="22" t="s">
        <v>693</v>
      </c>
      <c r="AD101" s="22" t="s">
        <v>694</v>
      </c>
      <c r="AE101" s="22" t="s">
        <v>829</v>
      </c>
      <c r="AF101" s="22" t="s">
        <v>830</v>
      </c>
      <c r="AG101" s="22" t="s">
        <v>831</v>
      </c>
      <c r="AH101" s="22" t="s">
        <v>473</v>
      </c>
      <c r="AI101" s="22" t="s">
        <v>137</v>
      </c>
      <c r="AJ101" s="22" t="n">
        <v>12</v>
      </c>
      <c r="AK101" s="22" t="n">
        <v>1</v>
      </c>
      <c r="AL101" s="22" t="n">
        <v>0</v>
      </c>
      <c r="AM101" s="22" t="n">
        <f aca="false">AL101+AK101+AJ101</f>
        <v>13</v>
      </c>
      <c r="AN101" s="22" t="n">
        <v>25</v>
      </c>
      <c r="AO101" s="22" t="n">
        <v>10</v>
      </c>
      <c r="AP101" s="22" t="n">
        <f aca="false">AN101+AO101</f>
        <v>35</v>
      </c>
      <c r="AQ101" s="22" t="n">
        <v>1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s">
        <v>160</v>
      </c>
      <c r="AZ101" s="22" t="s">
        <v>649</v>
      </c>
    </row>
    <row r="102" customFormat="false" ht="14.25" hidden="false" customHeight="false" outlineLevel="0" collapsed="false">
      <c r="B102" s="22" t="n">
        <v>142</v>
      </c>
      <c r="C102" s="22" t="s">
        <v>832</v>
      </c>
      <c r="D102" s="22" t="s">
        <v>16</v>
      </c>
      <c r="E102" s="22" t="s">
        <v>21</v>
      </c>
      <c r="F102" s="22" t="n">
        <v>50000907</v>
      </c>
      <c r="G102" s="22" t="s">
        <v>120</v>
      </c>
      <c r="H102" s="22" t="s">
        <v>121</v>
      </c>
      <c r="I102" s="22" t="s">
        <v>122</v>
      </c>
      <c r="J102" s="22" t="s">
        <v>659</v>
      </c>
      <c r="K102" s="22" t="s">
        <v>659</v>
      </c>
      <c r="L102" s="22" t="s">
        <v>22</v>
      </c>
      <c r="M102" s="22" t="s">
        <v>124</v>
      </c>
      <c r="N102" s="22" t="s">
        <v>833</v>
      </c>
      <c r="O102" s="22" t="n">
        <v>2642</v>
      </c>
      <c r="P102" s="22" t="s">
        <v>834</v>
      </c>
      <c r="Q102" s="22" t="s">
        <v>127</v>
      </c>
      <c r="R102" s="22" t="s">
        <v>835</v>
      </c>
      <c r="S102" s="22" t="n">
        <v>521201</v>
      </c>
      <c r="T102" s="22" t="n">
        <v>16.791856</v>
      </c>
      <c r="U102" s="22" t="n">
        <v>80.846701</v>
      </c>
      <c r="V102" s="22" t="s">
        <v>129</v>
      </c>
      <c r="W102" s="22" t="n">
        <v>2017</v>
      </c>
      <c r="X102" s="23" t="n">
        <v>42856</v>
      </c>
      <c r="Y102" s="22" t="n">
        <v>1100</v>
      </c>
      <c r="Z102" s="22" t="n">
        <v>1050</v>
      </c>
      <c r="AA102" s="22" t="s">
        <v>23</v>
      </c>
      <c r="AB102" s="22" t="s">
        <v>692</v>
      </c>
      <c r="AC102" s="22" t="s">
        <v>693</v>
      </c>
      <c r="AD102" s="22" t="s">
        <v>694</v>
      </c>
      <c r="AE102" s="22" t="s">
        <v>836</v>
      </c>
      <c r="AF102" s="22" t="s">
        <v>837</v>
      </c>
      <c r="AG102" s="22" t="s">
        <v>838</v>
      </c>
      <c r="AH102" s="22" t="s">
        <v>473</v>
      </c>
      <c r="AI102" s="22" t="s">
        <v>137</v>
      </c>
      <c r="AJ102" s="22" t="n">
        <v>17</v>
      </c>
      <c r="AK102" s="22" t="n">
        <v>1</v>
      </c>
      <c r="AL102" s="22" t="n">
        <v>0</v>
      </c>
      <c r="AM102" s="22" t="n">
        <f aca="false">AL102+AK102+AJ102</f>
        <v>18</v>
      </c>
      <c r="AN102" s="22" t="n">
        <v>15</v>
      </c>
      <c r="AO102" s="22" t="n">
        <v>20</v>
      </c>
      <c r="AP102" s="22" t="n">
        <f aca="false">AN102+AO102</f>
        <v>35</v>
      </c>
      <c r="AQ102" s="22" t="n">
        <v>0</v>
      </c>
      <c r="AR102" s="22" t="n">
        <v>0</v>
      </c>
      <c r="AS102" s="22" t="n">
        <v>1</v>
      </c>
      <c r="AT102" s="22" t="n">
        <v>0</v>
      </c>
      <c r="AU102" s="22" t="n">
        <v>1</v>
      </c>
      <c r="AV102" s="22" t="n">
        <v>0</v>
      </c>
      <c r="AW102" s="22" t="n">
        <v>0</v>
      </c>
      <c r="AX102" s="22" t="n">
        <v>0</v>
      </c>
      <c r="AY102" s="22" t="s">
        <v>160</v>
      </c>
      <c r="AZ102" s="22" t="s">
        <v>755</v>
      </c>
    </row>
    <row r="103" customFormat="false" ht="14.25" hidden="false" customHeight="false" outlineLevel="0" collapsed="false">
      <c r="B103" s="22" t="n">
        <v>143</v>
      </c>
      <c r="C103" s="22" t="s">
        <v>839</v>
      </c>
      <c r="D103" s="22" t="s">
        <v>16</v>
      </c>
      <c r="E103" s="22" t="s">
        <v>21</v>
      </c>
      <c r="F103" s="22" t="n">
        <v>50000820</v>
      </c>
      <c r="G103" s="22" t="s">
        <v>120</v>
      </c>
      <c r="H103" s="22" t="s">
        <v>121</v>
      </c>
      <c r="I103" s="22" t="s">
        <v>122</v>
      </c>
      <c r="J103" s="22" t="s">
        <v>717</v>
      </c>
      <c r="K103" s="22" t="s">
        <v>717</v>
      </c>
      <c r="L103" s="22" t="s">
        <v>22</v>
      </c>
      <c r="M103" s="22" t="s">
        <v>124</v>
      </c>
      <c r="N103" s="22" t="s">
        <v>840</v>
      </c>
      <c r="O103" s="22" t="n">
        <v>1960</v>
      </c>
      <c r="P103" s="22" t="s">
        <v>841</v>
      </c>
      <c r="Q103" s="22" t="s">
        <v>127</v>
      </c>
      <c r="R103" s="22" t="s">
        <v>842</v>
      </c>
      <c r="S103" s="22" t="n">
        <v>522413</v>
      </c>
      <c r="T103" s="22" t="n">
        <v>16.4794193068185</v>
      </c>
      <c r="U103" s="22" t="n">
        <v>79.8946122818937</v>
      </c>
      <c r="V103" s="22" t="s">
        <v>129</v>
      </c>
      <c r="W103" s="22" t="n">
        <v>2017</v>
      </c>
      <c r="X103" s="23" t="n">
        <v>42778</v>
      </c>
      <c r="Y103" s="22" t="n">
        <v>1400</v>
      </c>
      <c r="Z103" s="22" t="n">
        <v>1400</v>
      </c>
      <c r="AA103" s="22" t="s">
        <v>23</v>
      </c>
      <c r="AB103" s="22" t="s">
        <v>692</v>
      </c>
      <c r="AC103" s="22" t="s">
        <v>693</v>
      </c>
      <c r="AD103" s="22" t="s">
        <v>694</v>
      </c>
      <c r="AE103" s="22" t="s">
        <v>843</v>
      </c>
      <c r="AF103" s="22" t="s">
        <v>844</v>
      </c>
      <c r="AG103" s="22" t="s">
        <v>845</v>
      </c>
      <c r="AH103" s="22" t="s">
        <v>473</v>
      </c>
      <c r="AI103" s="22" t="s">
        <v>137</v>
      </c>
      <c r="AJ103" s="22" t="n">
        <v>13</v>
      </c>
      <c r="AK103" s="22" t="n">
        <v>1</v>
      </c>
      <c r="AL103" s="22" t="n">
        <v>2</v>
      </c>
      <c r="AM103" s="22" t="n">
        <f aca="false">AL103+AK103+AJ103</f>
        <v>16</v>
      </c>
      <c r="AN103" s="22" t="n">
        <v>15</v>
      </c>
      <c r="AO103" s="22" t="n">
        <v>5</v>
      </c>
      <c r="AP103" s="22" t="n">
        <f aca="false">AN103+AO103</f>
        <v>20</v>
      </c>
      <c r="AQ103" s="22" t="n">
        <v>0</v>
      </c>
      <c r="AR103" s="22" t="n">
        <v>0</v>
      </c>
      <c r="AS103" s="22" t="n">
        <v>1</v>
      </c>
      <c r="AT103" s="22" t="n">
        <v>0</v>
      </c>
      <c r="AU103" s="22" t="n">
        <v>1</v>
      </c>
      <c r="AV103" s="22" t="n">
        <v>0</v>
      </c>
      <c r="AW103" s="22" t="n">
        <v>0</v>
      </c>
      <c r="AX103" s="22" t="n">
        <v>0</v>
      </c>
      <c r="AY103" s="22" t="s">
        <v>160</v>
      </c>
      <c r="AZ103" s="22" t="s">
        <v>846</v>
      </c>
    </row>
    <row r="104" customFormat="false" ht="14.25" hidden="false" customHeight="false" outlineLevel="0" collapsed="false">
      <c r="B104" s="22" t="n">
        <v>144</v>
      </c>
      <c r="C104" s="22" t="s">
        <v>847</v>
      </c>
      <c r="D104" s="22" t="s">
        <v>16</v>
      </c>
      <c r="E104" s="22" t="s">
        <v>21</v>
      </c>
      <c r="F104" s="22" t="n">
        <v>50000851</v>
      </c>
      <c r="G104" s="22" t="s">
        <v>120</v>
      </c>
      <c r="H104" s="22" t="s">
        <v>152</v>
      </c>
      <c r="I104" s="22" t="s">
        <v>122</v>
      </c>
      <c r="J104" s="22" t="s">
        <v>717</v>
      </c>
      <c r="K104" s="22" t="s">
        <v>717</v>
      </c>
      <c r="L104" s="22" t="s">
        <v>22</v>
      </c>
      <c r="M104" s="22" t="s">
        <v>153</v>
      </c>
      <c r="N104" s="22" t="s">
        <v>848</v>
      </c>
      <c r="O104" s="22" t="n">
        <v>2632</v>
      </c>
      <c r="P104" s="22" t="s">
        <v>849</v>
      </c>
      <c r="Q104" s="22" t="s">
        <v>127</v>
      </c>
      <c r="R104" s="22" t="s">
        <v>850</v>
      </c>
      <c r="S104" s="22" t="n">
        <v>522124</v>
      </c>
      <c r="T104" s="22" t="n">
        <v>16.065598</v>
      </c>
      <c r="U104" s="22" t="n">
        <v>80.551112</v>
      </c>
      <c r="V104" s="22" t="s">
        <v>129</v>
      </c>
      <c r="W104" s="22" t="n">
        <v>2017</v>
      </c>
      <c r="X104" s="23" t="n">
        <v>42793</v>
      </c>
      <c r="Y104" s="22" t="n">
        <v>1000</v>
      </c>
      <c r="Z104" s="22" t="n">
        <v>1000</v>
      </c>
      <c r="AA104" s="22" t="s">
        <v>23</v>
      </c>
      <c r="AB104" s="22" t="s">
        <v>692</v>
      </c>
      <c r="AC104" s="22" t="s">
        <v>693</v>
      </c>
      <c r="AD104" s="22" t="s">
        <v>694</v>
      </c>
      <c r="AE104" s="22" t="s">
        <v>851</v>
      </c>
      <c r="AF104" s="22" t="s">
        <v>852</v>
      </c>
      <c r="AG104" s="22" t="s">
        <v>853</v>
      </c>
      <c r="AH104" s="22" t="s">
        <v>473</v>
      </c>
      <c r="AI104" s="22" t="s">
        <v>137</v>
      </c>
      <c r="AJ104" s="22" t="n">
        <v>14</v>
      </c>
      <c r="AK104" s="22" t="n">
        <v>1</v>
      </c>
      <c r="AL104" s="22" t="n">
        <v>2</v>
      </c>
      <c r="AM104" s="22" t="n">
        <f aca="false">AL104+AK104+AJ104</f>
        <v>17</v>
      </c>
      <c r="AN104" s="22" t="n">
        <v>9</v>
      </c>
      <c r="AO104" s="22" t="n">
        <v>7</v>
      </c>
      <c r="AP104" s="22" t="n">
        <f aca="false">AN104+AO104</f>
        <v>16</v>
      </c>
      <c r="AQ104" s="22" t="n">
        <v>1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s">
        <v>160</v>
      </c>
      <c r="AZ104" s="22" t="s">
        <v>672</v>
      </c>
    </row>
    <row r="105" customFormat="false" ht="14.25" hidden="false" customHeight="false" outlineLevel="0" collapsed="false">
      <c r="B105" s="22" t="n">
        <v>145</v>
      </c>
      <c r="C105" s="22" t="s">
        <v>854</v>
      </c>
      <c r="D105" s="22" t="s">
        <v>16</v>
      </c>
      <c r="E105" s="22" t="s">
        <v>21</v>
      </c>
      <c r="F105" s="22" t="n">
        <v>50000896</v>
      </c>
      <c r="G105" s="22" t="s">
        <v>120</v>
      </c>
      <c r="H105" s="22" t="s">
        <v>121</v>
      </c>
      <c r="I105" s="22" t="s">
        <v>122</v>
      </c>
      <c r="J105" s="22" t="s">
        <v>717</v>
      </c>
      <c r="K105" s="22" t="s">
        <v>717</v>
      </c>
      <c r="L105" s="22" t="s">
        <v>22</v>
      </c>
      <c r="M105" s="22" t="s">
        <v>124</v>
      </c>
      <c r="N105" s="22" t="s">
        <v>855</v>
      </c>
      <c r="O105" s="22" t="n">
        <v>883</v>
      </c>
      <c r="P105" s="22" t="s">
        <v>856</v>
      </c>
      <c r="Q105" s="22" t="s">
        <v>165</v>
      </c>
      <c r="R105" s="22" t="s">
        <v>857</v>
      </c>
      <c r="S105" s="22" t="n">
        <v>522265</v>
      </c>
      <c r="T105" s="22" t="n">
        <v>16.020944</v>
      </c>
      <c r="U105" s="22" t="n">
        <v>80.833205</v>
      </c>
      <c r="V105" s="22" t="s">
        <v>129</v>
      </c>
      <c r="W105" s="22" t="n">
        <v>2017</v>
      </c>
      <c r="X105" s="23" t="n">
        <v>42845</v>
      </c>
      <c r="Y105" s="22" t="n">
        <v>1000</v>
      </c>
      <c r="Z105" s="22" t="n">
        <v>1000</v>
      </c>
      <c r="AA105" s="22" t="s">
        <v>23</v>
      </c>
      <c r="AB105" s="22" t="s">
        <v>692</v>
      </c>
      <c r="AC105" s="22" t="s">
        <v>693</v>
      </c>
      <c r="AD105" s="22" t="s">
        <v>694</v>
      </c>
      <c r="AE105" s="22" t="s">
        <v>858</v>
      </c>
      <c r="AF105" s="22" t="s">
        <v>859</v>
      </c>
      <c r="AG105" s="22" t="s">
        <v>860</v>
      </c>
      <c r="AH105" s="22" t="s">
        <v>473</v>
      </c>
      <c r="AI105" s="22" t="s">
        <v>137</v>
      </c>
      <c r="AJ105" s="22" t="n">
        <v>11</v>
      </c>
      <c r="AK105" s="22" t="n">
        <v>1</v>
      </c>
      <c r="AL105" s="22" t="n">
        <v>1</v>
      </c>
      <c r="AM105" s="22" t="n">
        <f aca="false">AL105+AK105+AJ105</f>
        <v>13</v>
      </c>
      <c r="AN105" s="22" t="n">
        <v>16</v>
      </c>
      <c r="AO105" s="22" t="n">
        <v>11</v>
      </c>
      <c r="AP105" s="22" t="n">
        <f aca="false">AN105+AO105</f>
        <v>27</v>
      </c>
      <c r="AQ105" s="22" t="n">
        <v>0</v>
      </c>
      <c r="AR105" s="22" t="n">
        <v>0</v>
      </c>
      <c r="AS105" s="22" t="n">
        <v>1</v>
      </c>
      <c r="AT105" s="22" t="n">
        <v>0</v>
      </c>
      <c r="AU105" s="22" t="n">
        <v>1</v>
      </c>
      <c r="AV105" s="22" t="n">
        <v>0</v>
      </c>
      <c r="AW105" s="22" t="n">
        <v>0</v>
      </c>
      <c r="AX105" s="22" t="n">
        <v>0</v>
      </c>
      <c r="AY105" s="22" t="s">
        <v>160</v>
      </c>
      <c r="AZ105" s="22" t="s">
        <v>755</v>
      </c>
    </row>
    <row r="106" customFormat="false" ht="14.25" hidden="false" customHeight="false" outlineLevel="0" collapsed="false">
      <c r="B106" s="22" t="n">
        <v>146</v>
      </c>
      <c r="C106" s="22" t="s">
        <v>861</v>
      </c>
      <c r="D106" s="22" t="s">
        <v>16</v>
      </c>
      <c r="E106" s="22" t="s">
        <v>21</v>
      </c>
      <c r="F106" s="22" t="n">
        <v>50000778</v>
      </c>
      <c r="G106" s="22" t="s">
        <v>120</v>
      </c>
      <c r="H106" s="22" t="s">
        <v>207</v>
      </c>
      <c r="I106" s="22" t="s">
        <v>658</v>
      </c>
      <c r="J106" s="22" t="s">
        <v>659</v>
      </c>
      <c r="K106" s="22" t="s">
        <v>659</v>
      </c>
      <c r="L106" s="22" t="s">
        <v>22</v>
      </c>
      <c r="M106" s="22" t="s">
        <v>153</v>
      </c>
      <c r="N106" s="22" t="s">
        <v>862</v>
      </c>
      <c r="O106" s="22" t="n">
        <v>327</v>
      </c>
      <c r="P106" s="22" t="n">
        <v>409</v>
      </c>
      <c r="Q106" s="22" t="s">
        <v>127</v>
      </c>
      <c r="R106" s="22" t="s">
        <v>863</v>
      </c>
      <c r="S106" s="22" t="n">
        <v>520008</v>
      </c>
      <c r="T106" s="22" t="n">
        <v>16.5053172257895</v>
      </c>
      <c r="U106" s="22" t="n">
        <v>80.6433659516522</v>
      </c>
      <c r="V106" s="22" t="s">
        <v>129</v>
      </c>
      <c r="W106" s="22" t="n">
        <v>2020</v>
      </c>
      <c r="X106" s="23" t="n">
        <v>43983</v>
      </c>
      <c r="Y106" s="22" t="n">
        <v>2500</v>
      </c>
      <c r="Z106" s="22" t="n">
        <v>2500</v>
      </c>
      <c r="AA106" s="22" t="s">
        <v>23</v>
      </c>
      <c r="AB106" s="22" t="s">
        <v>692</v>
      </c>
      <c r="AC106" s="22" t="s">
        <v>693</v>
      </c>
      <c r="AD106" s="22" t="s">
        <v>694</v>
      </c>
      <c r="AE106" s="22" t="s">
        <v>864</v>
      </c>
      <c r="AF106" s="22" t="s">
        <v>865</v>
      </c>
      <c r="AG106" s="22" t="s">
        <v>866</v>
      </c>
      <c r="AH106" s="22" t="s">
        <v>493</v>
      </c>
      <c r="AI106" s="22" t="s">
        <v>746</v>
      </c>
      <c r="AJ106" s="22" t="n">
        <v>49</v>
      </c>
      <c r="AK106" s="22" t="n">
        <v>1</v>
      </c>
      <c r="AL106" s="22" t="n">
        <v>3</v>
      </c>
      <c r="AM106" s="22" t="n">
        <f aca="false">AL106+AK106+AJ106</f>
        <v>53</v>
      </c>
      <c r="AN106" s="22" t="n">
        <v>69</v>
      </c>
      <c r="AO106" s="22" t="n">
        <v>50</v>
      </c>
      <c r="AP106" s="22" t="n">
        <f aca="false">AN106+AO106</f>
        <v>119</v>
      </c>
      <c r="AQ106" s="22" t="n">
        <v>2</v>
      </c>
      <c r="AR106" s="22" t="n">
        <v>0</v>
      </c>
      <c r="AS106" s="22" t="n">
        <v>1</v>
      </c>
      <c r="AT106" s="22" t="n">
        <v>0</v>
      </c>
      <c r="AU106" s="22" t="n">
        <v>1</v>
      </c>
      <c r="AV106" s="22" t="n">
        <v>0</v>
      </c>
      <c r="AW106" s="22" t="n">
        <v>0</v>
      </c>
      <c r="AX106" s="22" t="n">
        <v>0</v>
      </c>
      <c r="AY106" s="22" t="s">
        <v>160</v>
      </c>
      <c r="AZ106" s="22" t="s">
        <v>649</v>
      </c>
    </row>
    <row r="107" customFormat="false" ht="14.25" hidden="false" customHeight="false" outlineLevel="0" collapsed="false">
      <c r="B107" s="22" t="n">
        <v>147</v>
      </c>
      <c r="C107" s="22" t="s">
        <v>867</v>
      </c>
      <c r="D107" s="22" t="s">
        <v>16</v>
      </c>
      <c r="E107" s="22" t="s">
        <v>21</v>
      </c>
      <c r="F107" s="22" t="n">
        <v>11200061</v>
      </c>
      <c r="G107" s="22" t="s">
        <v>162</v>
      </c>
      <c r="H107" s="22" t="s">
        <v>163</v>
      </c>
      <c r="I107" s="22" t="s">
        <v>122</v>
      </c>
      <c r="J107" s="22" t="s">
        <v>659</v>
      </c>
      <c r="K107" s="22" t="s">
        <v>659</v>
      </c>
      <c r="L107" s="22" t="s">
        <v>22</v>
      </c>
      <c r="M107" s="22" t="s">
        <v>153</v>
      </c>
      <c r="N107" s="22" t="s">
        <v>862</v>
      </c>
      <c r="O107" s="22" t="n">
        <v>327</v>
      </c>
      <c r="P107" s="22" t="s">
        <v>868</v>
      </c>
      <c r="Q107" s="22" t="s">
        <v>165</v>
      </c>
      <c r="R107" s="22" t="s">
        <v>869</v>
      </c>
      <c r="S107" s="22" t="n">
        <v>520008</v>
      </c>
      <c r="T107" s="22" t="n">
        <v>16.5053172257895</v>
      </c>
      <c r="U107" s="22" t="n">
        <v>80.6433659516522</v>
      </c>
      <c r="V107" s="22" t="s">
        <v>129</v>
      </c>
      <c r="W107" s="22" t="n">
        <v>2020</v>
      </c>
      <c r="X107" s="23" t="n">
        <v>43983</v>
      </c>
      <c r="Y107" s="22" t="n">
        <v>2500</v>
      </c>
      <c r="Z107" s="22" t="n">
        <v>2500</v>
      </c>
      <c r="AA107" s="22" t="s">
        <v>23</v>
      </c>
      <c r="AB107" s="22" t="s">
        <v>692</v>
      </c>
      <c r="AC107" s="22" t="s">
        <v>693</v>
      </c>
      <c r="AD107" s="22" t="s">
        <v>694</v>
      </c>
      <c r="AE107" s="22" t="s">
        <v>692</v>
      </c>
      <c r="AF107" s="22" t="s">
        <v>693</v>
      </c>
      <c r="AG107" s="22" t="s">
        <v>694</v>
      </c>
      <c r="AH107" s="22" t="s">
        <v>493</v>
      </c>
      <c r="AI107" s="22" t="s">
        <v>314</v>
      </c>
      <c r="AJ107" s="22" t="n">
        <v>39</v>
      </c>
      <c r="AK107" s="22" t="n">
        <v>0</v>
      </c>
      <c r="AL107" s="22" t="n">
        <v>0</v>
      </c>
      <c r="AM107" s="22" t="n">
        <f aca="false">AL107+AK107+AJ107</f>
        <v>39</v>
      </c>
      <c r="AN107" s="22" t="n">
        <v>68</v>
      </c>
      <c r="AO107" s="22" t="n">
        <v>15</v>
      </c>
      <c r="AP107" s="22" t="n">
        <f aca="false">AN107+AO107</f>
        <v>83</v>
      </c>
      <c r="AQ107" s="22" t="n">
        <v>3</v>
      </c>
      <c r="AR107" s="22" t="n">
        <v>0</v>
      </c>
      <c r="AS107" s="22" t="n">
        <v>1</v>
      </c>
      <c r="AT107" s="22" t="n">
        <v>0</v>
      </c>
      <c r="AU107" s="22" t="n">
        <v>1</v>
      </c>
      <c r="AV107" s="22" t="n">
        <v>1</v>
      </c>
      <c r="AW107" s="22" t="n">
        <v>0</v>
      </c>
      <c r="AX107" s="22" t="n">
        <v>0</v>
      </c>
      <c r="AY107" s="22" t="s">
        <v>160</v>
      </c>
      <c r="AZ107" s="22" t="s">
        <v>656</v>
      </c>
    </row>
    <row r="108" customFormat="false" ht="14.25" hidden="false" customHeight="false" outlineLevel="0" collapsed="false">
      <c r="B108" s="22" t="n">
        <v>148</v>
      </c>
      <c r="C108" s="22" t="s">
        <v>870</v>
      </c>
      <c r="D108" s="22" t="s">
        <v>16</v>
      </c>
      <c r="E108" s="22" t="s">
        <v>21</v>
      </c>
      <c r="F108" s="22" t="s">
        <v>871</v>
      </c>
      <c r="G108" s="22" t="s">
        <v>162</v>
      </c>
      <c r="H108" s="22" t="s">
        <v>163</v>
      </c>
      <c r="I108" s="22" t="s">
        <v>122</v>
      </c>
      <c r="J108" s="22" t="s">
        <v>659</v>
      </c>
      <c r="K108" s="22" t="s">
        <v>659</v>
      </c>
      <c r="L108" s="22" t="s">
        <v>22</v>
      </c>
      <c r="M108" s="22" t="s">
        <v>153</v>
      </c>
      <c r="N108" s="22" t="s">
        <v>862</v>
      </c>
      <c r="O108" s="22" t="n">
        <v>327</v>
      </c>
      <c r="P108" s="22" t="s">
        <v>871</v>
      </c>
      <c r="Q108" s="22" t="s">
        <v>872</v>
      </c>
      <c r="R108" s="22" t="s">
        <v>873</v>
      </c>
      <c r="S108" s="22" t="n">
        <v>520008</v>
      </c>
      <c r="T108" s="22" t="n">
        <v>16.5053172257895</v>
      </c>
      <c r="U108" s="22" t="n">
        <v>80.6433659516522</v>
      </c>
      <c r="V108" s="22" t="s">
        <v>129</v>
      </c>
      <c r="W108" s="22" t="n">
        <v>2024</v>
      </c>
      <c r="X108" s="23" t="n">
        <v>45323</v>
      </c>
      <c r="Y108" s="22" t="n">
        <v>2500</v>
      </c>
      <c r="Z108" s="22" t="n">
        <v>2500</v>
      </c>
      <c r="AA108" s="22" t="s">
        <v>23</v>
      </c>
      <c r="AB108" s="22" t="s">
        <v>692</v>
      </c>
      <c r="AC108" s="22" t="s">
        <v>693</v>
      </c>
      <c r="AD108" s="22" t="s">
        <v>694</v>
      </c>
      <c r="AE108" s="22" t="s">
        <v>692</v>
      </c>
      <c r="AF108" s="22" t="s">
        <v>693</v>
      </c>
      <c r="AG108" s="22" t="s">
        <v>694</v>
      </c>
      <c r="AH108" s="22" t="s">
        <v>493</v>
      </c>
      <c r="AI108" s="22" t="s">
        <v>314</v>
      </c>
      <c r="AJ108" s="22" t="n">
        <v>42</v>
      </c>
      <c r="AK108" s="22" t="n">
        <v>0</v>
      </c>
      <c r="AL108" s="22" t="n">
        <v>0</v>
      </c>
      <c r="AM108" s="22" t="n">
        <f aca="false">AL108+AK108+AJ108</f>
        <v>42</v>
      </c>
      <c r="AN108" s="22" t="n">
        <v>42</v>
      </c>
      <c r="AO108" s="22" t="n">
        <v>0</v>
      </c>
      <c r="AP108" s="22" t="n">
        <f aca="false">AN108+AO108</f>
        <v>42</v>
      </c>
      <c r="AQ108" s="22" t="n">
        <v>3</v>
      </c>
      <c r="AR108" s="22" t="n">
        <v>0</v>
      </c>
      <c r="AS108" s="22" t="n">
        <v>1</v>
      </c>
      <c r="AT108" s="22" t="n">
        <v>0</v>
      </c>
      <c r="AU108" s="22" t="n">
        <v>1</v>
      </c>
      <c r="AV108" s="22" t="n">
        <v>1</v>
      </c>
      <c r="AW108" s="22" t="n">
        <v>0</v>
      </c>
      <c r="AX108" s="22" t="n">
        <v>0</v>
      </c>
      <c r="AY108" s="22" t="s">
        <v>160</v>
      </c>
      <c r="AZ108" s="22" t="s">
        <v>656</v>
      </c>
    </row>
    <row r="109" customFormat="false" ht="14.25" hidden="false" customHeight="false" outlineLevel="0" collapsed="false">
      <c r="B109" s="22" t="n">
        <v>149</v>
      </c>
      <c r="C109" s="22" t="s">
        <v>874</v>
      </c>
      <c r="D109" s="22" t="s">
        <v>16</v>
      </c>
      <c r="E109" s="22" t="s">
        <v>21</v>
      </c>
      <c r="F109" s="22" t="n">
        <v>50006916</v>
      </c>
      <c r="G109" s="22" t="s">
        <v>120</v>
      </c>
      <c r="H109" s="22" t="s">
        <v>875</v>
      </c>
      <c r="I109" s="22" t="s">
        <v>122</v>
      </c>
      <c r="J109" s="22" t="s">
        <v>659</v>
      </c>
      <c r="K109" s="22" t="s">
        <v>659</v>
      </c>
      <c r="L109" s="22" t="s">
        <v>22</v>
      </c>
      <c r="M109" s="22" t="s">
        <v>153</v>
      </c>
      <c r="N109" s="22" t="s">
        <v>876</v>
      </c>
      <c r="O109" s="22" t="n">
        <v>13656</v>
      </c>
      <c r="P109" s="22" t="s">
        <v>877</v>
      </c>
      <c r="Q109" s="22" t="s">
        <v>165</v>
      </c>
      <c r="R109" s="22" t="s">
        <v>878</v>
      </c>
      <c r="S109" s="22" t="n">
        <v>520010</v>
      </c>
      <c r="T109" s="22" t="n">
        <v>16.498649</v>
      </c>
      <c r="U109" s="22" t="n">
        <v>80.652031</v>
      </c>
      <c r="V109" s="22" t="s">
        <v>129</v>
      </c>
      <c r="W109" s="22" t="s">
        <v>139</v>
      </c>
      <c r="X109" s="23" t="s">
        <v>139</v>
      </c>
      <c r="Y109" s="22" t="n">
        <v>2500</v>
      </c>
      <c r="Z109" s="22" t="n">
        <v>2500</v>
      </c>
      <c r="AA109" s="22" t="s">
        <v>23</v>
      </c>
      <c r="AB109" s="22" t="s">
        <v>692</v>
      </c>
      <c r="AC109" s="22" t="s">
        <v>693</v>
      </c>
      <c r="AD109" s="22" t="s">
        <v>694</v>
      </c>
      <c r="AE109" s="22" t="s">
        <v>879</v>
      </c>
      <c r="AF109" s="22" t="s">
        <v>880</v>
      </c>
      <c r="AG109" s="22" t="s">
        <v>881</v>
      </c>
      <c r="AH109" s="22" t="s">
        <v>473</v>
      </c>
      <c r="AI109" s="22" t="s">
        <v>137</v>
      </c>
      <c r="AJ109" s="22" t="n">
        <v>18</v>
      </c>
      <c r="AK109" s="22" t="n">
        <v>1</v>
      </c>
      <c r="AL109" s="22" t="n">
        <v>0</v>
      </c>
      <c r="AM109" s="22" t="n">
        <f aca="false">AL109+AK109+AJ109</f>
        <v>19</v>
      </c>
      <c r="AN109" s="22" t="n">
        <v>5</v>
      </c>
      <c r="AO109" s="22" t="n">
        <v>0</v>
      </c>
      <c r="AP109" s="22" t="n">
        <f aca="false">AN109+AO109</f>
        <v>5</v>
      </c>
      <c r="AQ109" s="22" t="n">
        <v>1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s">
        <v>160</v>
      </c>
      <c r="AZ109" s="22" t="s">
        <v>882</v>
      </c>
    </row>
    <row r="110" customFormat="false" ht="14.25" hidden="false" customHeight="false" outlineLevel="0" collapsed="false">
      <c r="B110" s="22" t="n">
        <v>150</v>
      </c>
      <c r="C110" s="22" t="s">
        <v>883</v>
      </c>
      <c r="D110" s="22" t="s">
        <v>16</v>
      </c>
      <c r="E110" s="22" t="s">
        <v>21</v>
      </c>
      <c r="F110" s="22" t="s">
        <v>871</v>
      </c>
      <c r="G110" s="22" t="s">
        <v>120</v>
      </c>
      <c r="H110" s="22" t="s">
        <v>207</v>
      </c>
      <c r="I110" s="22" t="s">
        <v>122</v>
      </c>
      <c r="J110" s="22" t="s">
        <v>659</v>
      </c>
      <c r="K110" s="22" t="s">
        <v>659</v>
      </c>
      <c r="L110" s="22" t="s">
        <v>22</v>
      </c>
      <c r="M110" s="22" t="s">
        <v>153</v>
      </c>
      <c r="N110" s="22" t="s">
        <v>862</v>
      </c>
      <c r="O110" s="22" t="n">
        <v>327</v>
      </c>
      <c r="P110" s="22" t="s">
        <v>871</v>
      </c>
      <c r="Q110" s="22" t="s">
        <v>165</v>
      </c>
      <c r="R110" s="22" t="s">
        <v>884</v>
      </c>
      <c r="S110" s="22" t="n">
        <v>520010</v>
      </c>
      <c r="T110" s="22" t="n">
        <v>16.5053172257895</v>
      </c>
      <c r="U110" s="22" t="n">
        <v>80.6433659516522</v>
      </c>
      <c r="V110" s="22" t="s">
        <v>129</v>
      </c>
      <c r="W110" s="22" t="n">
        <v>2016</v>
      </c>
      <c r="X110" s="23" t="n">
        <v>42461</v>
      </c>
      <c r="Y110" s="22" t="n">
        <v>5300</v>
      </c>
      <c r="Z110" s="22" t="n">
        <v>5300</v>
      </c>
      <c r="AA110" s="22" t="s">
        <v>23</v>
      </c>
      <c r="AB110" s="22" t="s">
        <v>692</v>
      </c>
      <c r="AC110" s="22" t="s">
        <v>693</v>
      </c>
      <c r="AD110" s="22" t="s">
        <v>694</v>
      </c>
      <c r="AE110" s="22" t="s">
        <v>885</v>
      </c>
      <c r="AF110" s="22" t="s">
        <v>886</v>
      </c>
      <c r="AG110" s="22" t="s">
        <v>887</v>
      </c>
      <c r="AH110" s="22" t="s">
        <v>493</v>
      </c>
      <c r="AI110" s="22" t="s">
        <v>314</v>
      </c>
      <c r="AJ110" s="22" t="n">
        <v>60</v>
      </c>
      <c r="AK110" s="22" t="n">
        <v>4</v>
      </c>
      <c r="AL110" s="22" t="n">
        <v>4</v>
      </c>
      <c r="AM110" s="22" t="n">
        <f aca="false">AL110+AK110+AJ110</f>
        <v>68</v>
      </c>
      <c r="AN110" s="22" t="n">
        <v>81</v>
      </c>
      <c r="AO110" s="22" t="n">
        <v>20</v>
      </c>
      <c r="AP110" s="22" t="n">
        <f aca="false">AN110+AO110</f>
        <v>101</v>
      </c>
      <c r="AQ110" s="22" t="n">
        <v>4</v>
      </c>
      <c r="AR110" s="22" t="n">
        <v>2</v>
      </c>
      <c r="AS110" s="22" t="n">
        <v>0</v>
      </c>
      <c r="AT110" s="22" t="n">
        <v>1</v>
      </c>
      <c r="AU110" s="22" t="n">
        <v>2</v>
      </c>
      <c r="AV110" s="22" t="n">
        <v>1</v>
      </c>
      <c r="AW110" s="22" t="n">
        <v>0</v>
      </c>
      <c r="AX110" s="22" t="n">
        <v>0</v>
      </c>
      <c r="AY110" s="22" t="s">
        <v>160</v>
      </c>
      <c r="AZ110" s="22" t="s">
        <v>888</v>
      </c>
    </row>
    <row r="111" customFormat="false" ht="14.25" hidden="false" customHeight="false" outlineLevel="0" collapsed="false">
      <c r="B111" s="22" t="n">
        <v>151</v>
      </c>
      <c r="C111" s="22" t="s">
        <v>889</v>
      </c>
      <c r="D111" s="22" t="s">
        <v>16</v>
      </c>
      <c r="E111" s="22" t="s">
        <v>21</v>
      </c>
      <c r="F111" s="22" t="n">
        <v>11200129</v>
      </c>
      <c r="G111" s="22" t="s">
        <v>890</v>
      </c>
      <c r="H111" s="22" t="s">
        <v>890</v>
      </c>
      <c r="I111" s="22" t="s">
        <v>122</v>
      </c>
      <c r="J111" s="22" t="s">
        <v>659</v>
      </c>
      <c r="K111" s="22" t="s">
        <v>659</v>
      </c>
      <c r="L111" s="22" t="s">
        <v>22</v>
      </c>
      <c r="M111" s="22" t="s">
        <v>153</v>
      </c>
      <c r="N111" s="22" t="s">
        <v>891</v>
      </c>
      <c r="O111" s="22" t="n">
        <v>327</v>
      </c>
      <c r="P111" s="22" t="s">
        <v>871</v>
      </c>
      <c r="Q111" s="22" t="s">
        <v>892</v>
      </c>
      <c r="R111" s="22" t="s">
        <v>893</v>
      </c>
      <c r="S111" s="22" t="n">
        <v>520008</v>
      </c>
      <c r="T111" s="22" t="n">
        <v>16.505283</v>
      </c>
      <c r="U111" s="22" t="n">
        <v>80.662543</v>
      </c>
      <c r="V111" s="22" t="s">
        <v>129</v>
      </c>
      <c r="W111" s="22" t="n">
        <v>2023</v>
      </c>
      <c r="X111" s="23" t="n">
        <v>45139</v>
      </c>
      <c r="Y111" s="22" t="n">
        <v>6610</v>
      </c>
      <c r="Z111" s="22" t="n">
        <v>6610</v>
      </c>
      <c r="AA111" s="22" t="s">
        <v>23</v>
      </c>
      <c r="AB111" s="22" t="s">
        <v>692</v>
      </c>
      <c r="AC111" s="22" t="s">
        <v>693</v>
      </c>
      <c r="AD111" s="22" t="s">
        <v>694</v>
      </c>
      <c r="AE111" s="22" t="s">
        <v>894</v>
      </c>
      <c r="AF111" s="22" t="s">
        <v>895</v>
      </c>
      <c r="AG111" s="22" t="s">
        <v>896</v>
      </c>
      <c r="AH111" s="22" t="s">
        <v>493</v>
      </c>
      <c r="AI111" s="22" t="s">
        <v>314</v>
      </c>
      <c r="AJ111" s="22" t="n">
        <v>0</v>
      </c>
      <c r="AK111" s="22" t="n">
        <v>0</v>
      </c>
      <c r="AL111" s="22" t="n">
        <v>0</v>
      </c>
      <c r="AM111" s="22" t="n">
        <f aca="false">AL111+AK111+AJ111</f>
        <v>0</v>
      </c>
      <c r="AN111" s="22" t="n">
        <v>0</v>
      </c>
      <c r="AO111" s="22" t="n">
        <v>0</v>
      </c>
      <c r="AP111" s="22" t="n">
        <f aca="false">AN111+AO111</f>
        <v>0</v>
      </c>
      <c r="AQ111" s="22" t="n">
        <v>1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s">
        <v>160</v>
      </c>
      <c r="AZ111" s="22" t="s">
        <v>897</v>
      </c>
    </row>
    <row r="112" customFormat="false" ht="14.25" hidden="false" customHeight="false" outlineLevel="0" collapsed="false">
      <c r="B112" s="22" t="n">
        <v>152</v>
      </c>
      <c r="C112" s="22" t="s">
        <v>898</v>
      </c>
      <c r="D112" s="22" t="s">
        <v>16</v>
      </c>
      <c r="E112" s="22" t="s">
        <v>21</v>
      </c>
      <c r="F112" s="22" t="s">
        <v>871</v>
      </c>
      <c r="G112" s="22" t="s">
        <v>890</v>
      </c>
      <c r="H112" s="22" t="s">
        <v>890</v>
      </c>
      <c r="I112" s="22" t="s">
        <v>122</v>
      </c>
      <c r="J112" s="22" t="s">
        <v>659</v>
      </c>
      <c r="K112" s="22" t="s">
        <v>659</v>
      </c>
      <c r="L112" s="22" t="s">
        <v>22</v>
      </c>
      <c r="M112" s="22" t="s">
        <v>153</v>
      </c>
      <c r="N112" s="22" t="s">
        <v>891</v>
      </c>
      <c r="O112" s="22" t="n">
        <v>327</v>
      </c>
      <c r="P112" s="22" t="s">
        <v>871</v>
      </c>
      <c r="Q112" s="22" t="s">
        <v>225</v>
      </c>
      <c r="R112" s="22" t="s">
        <v>899</v>
      </c>
      <c r="S112" s="22" t="n">
        <v>520008</v>
      </c>
      <c r="T112" s="22" t="n">
        <v>16.505433</v>
      </c>
      <c r="U112" s="22" t="n">
        <v>80.662433</v>
      </c>
      <c r="V112" s="22" t="s">
        <v>129</v>
      </c>
      <c r="W112" s="22" t="n">
        <v>2023</v>
      </c>
      <c r="X112" s="23" t="n">
        <v>45139</v>
      </c>
      <c r="Y112" s="22" t="n">
        <v>3360</v>
      </c>
      <c r="Z112" s="22" t="n">
        <v>3360</v>
      </c>
      <c r="AA112" s="22" t="s">
        <v>23</v>
      </c>
      <c r="AB112" s="22" t="s">
        <v>692</v>
      </c>
      <c r="AC112" s="22" t="s">
        <v>693</v>
      </c>
      <c r="AD112" s="22" t="s">
        <v>694</v>
      </c>
      <c r="AE112" s="22" t="s">
        <v>894</v>
      </c>
      <c r="AF112" s="22" t="s">
        <v>895</v>
      </c>
      <c r="AG112" s="22" t="s">
        <v>896</v>
      </c>
      <c r="AH112" s="22" t="s">
        <v>493</v>
      </c>
      <c r="AI112" s="22" t="s">
        <v>746</v>
      </c>
      <c r="AJ112" s="22" t="n">
        <v>0</v>
      </c>
      <c r="AK112" s="22" t="n">
        <v>0</v>
      </c>
      <c r="AL112" s="22" t="n">
        <v>0</v>
      </c>
      <c r="AM112" s="22" t="n">
        <f aca="false">AL112+AK112+AJ112</f>
        <v>0</v>
      </c>
      <c r="AN112" s="22" t="n">
        <v>0</v>
      </c>
      <c r="AO112" s="22" t="n">
        <v>0</v>
      </c>
      <c r="AP112" s="22" t="n">
        <f aca="false">AN112+AO112</f>
        <v>0</v>
      </c>
      <c r="AQ112" s="22" t="n">
        <v>1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s">
        <v>160</v>
      </c>
      <c r="AZ112" s="22" t="s">
        <v>897</v>
      </c>
    </row>
    <row r="113" customFormat="false" ht="14.25" hidden="false" customHeight="false" outlineLevel="0" collapsed="false">
      <c r="B113" s="22" t="n">
        <v>153</v>
      </c>
      <c r="C113" s="22" t="s">
        <v>900</v>
      </c>
      <c r="D113" s="22" t="s">
        <v>16</v>
      </c>
      <c r="E113" s="22" t="s">
        <v>21</v>
      </c>
      <c r="F113" s="22" t="n">
        <v>11200069</v>
      </c>
      <c r="G113" s="22" t="s">
        <v>901</v>
      </c>
      <c r="H113" s="22" t="s">
        <v>902</v>
      </c>
      <c r="I113" s="22" t="s">
        <v>122</v>
      </c>
      <c r="J113" s="22" t="s">
        <v>659</v>
      </c>
      <c r="K113" s="22" t="s">
        <v>659</v>
      </c>
      <c r="L113" s="22" t="s">
        <v>22</v>
      </c>
      <c r="M113" s="22" t="s">
        <v>153</v>
      </c>
      <c r="N113" s="22" t="s">
        <v>891</v>
      </c>
      <c r="O113" s="22" t="n">
        <v>327</v>
      </c>
      <c r="P113" s="22" t="s">
        <v>871</v>
      </c>
      <c r="Q113" s="22" t="s">
        <v>225</v>
      </c>
      <c r="R113" s="22" t="s">
        <v>903</v>
      </c>
      <c r="S113" s="22" t="n">
        <v>520008</v>
      </c>
      <c r="T113" s="22" t="n">
        <v>16.5163549765417</v>
      </c>
      <c r="U113" s="22" t="n">
        <v>80.6682615237089</v>
      </c>
      <c r="V113" s="22" t="s">
        <v>129</v>
      </c>
      <c r="W113" s="22" t="n">
        <v>2023</v>
      </c>
      <c r="X113" s="23" t="n">
        <v>45139</v>
      </c>
      <c r="Y113" s="22" t="n">
        <v>1920</v>
      </c>
      <c r="Z113" s="22" t="n">
        <v>1920</v>
      </c>
      <c r="AA113" s="22" t="s">
        <v>23</v>
      </c>
      <c r="AB113" s="22" t="s">
        <v>692</v>
      </c>
      <c r="AC113" s="22" t="s">
        <v>693</v>
      </c>
      <c r="AD113" s="22" t="s">
        <v>694</v>
      </c>
      <c r="AE113" s="22" t="s">
        <v>894</v>
      </c>
      <c r="AF113" s="22" t="s">
        <v>895</v>
      </c>
      <c r="AG113" s="22" t="s">
        <v>896</v>
      </c>
      <c r="AH113" s="22" t="s">
        <v>493</v>
      </c>
      <c r="AI113" s="22" t="s">
        <v>314</v>
      </c>
      <c r="AJ113" s="22" t="n">
        <v>3</v>
      </c>
      <c r="AK113" s="22" t="n">
        <v>0</v>
      </c>
      <c r="AL113" s="22" t="n">
        <v>0</v>
      </c>
      <c r="AM113" s="22" t="n">
        <f aca="false">AL113+AK113+AJ113</f>
        <v>3</v>
      </c>
      <c r="AN113" s="22" t="n">
        <v>1</v>
      </c>
      <c r="AO113" s="22" t="n">
        <v>1</v>
      </c>
      <c r="AP113" s="22" t="n">
        <f aca="false">AN113+AO113</f>
        <v>2</v>
      </c>
      <c r="AQ113" s="22" t="n">
        <v>0</v>
      </c>
      <c r="AR113" s="22" t="n">
        <v>0</v>
      </c>
      <c r="AS113" s="22" t="n">
        <v>1</v>
      </c>
      <c r="AT113" s="22" t="n">
        <v>1</v>
      </c>
      <c r="AU113" s="22" t="n">
        <v>1</v>
      </c>
      <c r="AV113" s="22" t="n">
        <v>1</v>
      </c>
      <c r="AW113" s="22" t="n">
        <v>0</v>
      </c>
      <c r="AX113" s="22" t="n">
        <v>0</v>
      </c>
      <c r="AY113" s="22" t="s">
        <v>160</v>
      </c>
      <c r="AZ113" s="22" t="s">
        <v>897</v>
      </c>
    </row>
    <row r="114" customFormat="false" ht="14.25" hidden="false" customHeight="false" outlineLevel="0" collapsed="false">
      <c r="B114" s="22" t="n">
        <v>154</v>
      </c>
      <c r="C114" s="22" t="s">
        <v>904</v>
      </c>
      <c r="D114" s="22" t="s">
        <v>16</v>
      </c>
      <c r="E114" s="22" t="s">
        <v>21</v>
      </c>
      <c r="F114" s="22" t="n">
        <v>50000802</v>
      </c>
      <c r="G114" s="22" t="s">
        <v>120</v>
      </c>
      <c r="H114" s="22" t="s">
        <v>141</v>
      </c>
      <c r="I114" s="22" t="s">
        <v>122</v>
      </c>
      <c r="J114" s="22" t="s">
        <v>700</v>
      </c>
      <c r="K114" s="22" t="s">
        <v>700</v>
      </c>
      <c r="L114" s="22" t="s">
        <v>22</v>
      </c>
      <c r="M114" s="22" t="s">
        <v>124</v>
      </c>
      <c r="N114" s="22" t="s">
        <v>905</v>
      </c>
      <c r="O114" s="22" t="n">
        <v>987</v>
      </c>
      <c r="P114" s="22" t="s">
        <v>906</v>
      </c>
      <c r="Q114" s="22" t="s">
        <v>127</v>
      </c>
      <c r="R114" s="22" t="s">
        <v>907</v>
      </c>
      <c r="S114" s="22" t="n">
        <v>518360</v>
      </c>
      <c r="T114" s="22" t="n">
        <v>15.7691081</v>
      </c>
      <c r="U114" s="22" t="n">
        <v>77.4833962</v>
      </c>
      <c r="V114" s="22" t="s">
        <v>129</v>
      </c>
      <c r="W114" s="22" t="n">
        <v>2018</v>
      </c>
      <c r="X114" s="23" t="n">
        <v>43104</v>
      </c>
      <c r="Y114" s="22" t="n">
        <v>600</v>
      </c>
      <c r="Z114" s="22" t="n">
        <v>600</v>
      </c>
      <c r="AA114" s="22" t="s">
        <v>23</v>
      </c>
      <c r="AB114" s="22" t="s">
        <v>692</v>
      </c>
      <c r="AC114" s="22" t="s">
        <v>693</v>
      </c>
      <c r="AD114" s="22" t="s">
        <v>694</v>
      </c>
      <c r="AE114" s="22" t="s">
        <v>908</v>
      </c>
      <c r="AF114" s="22" t="s">
        <v>909</v>
      </c>
      <c r="AG114" s="22" t="s">
        <v>910</v>
      </c>
      <c r="AH114" s="22" t="s">
        <v>473</v>
      </c>
      <c r="AI114" s="22" t="s">
        <v>137</v>
      </c>
      <c r="AJ114" s="22" t="n">
        <v>12</v>
      </c>
      <c r="AK114" s="22" t="n">
        <v>1</v>
      </c>
      <c r="AL114" s="22" t="n">
        <v>0</v>
      </c>
      <c r="AM114" s="22" t="n">
        <f aca="false">AL114+AK114+AJ114</f>
        <v>13</v>
      </c>
      <c r="AN114" s="22" t="n">
        <v>13</v>
      </c>
      <c r="AO114" s="22" t="n">
        <v>4</v>
      </c>
      <c r="AP114" s="22" t="n">
        <f aca="false">AN114+AO114</f>
        <v>17</v>
      </c>
      <c r="AQ114" s="22" t="n">
        <v>0</v>
      </c>
      <c r="AR114" s="22" t="n">
        <v>0</v>
      </c>
      <c r="AS114" s="22" t="n">
        <v>1</v>
      </c>
      <c r="AT114" s="22" t="n">
        <v>0</v>
      </c>
      <c r="AU114" s="22" t="n">
        <v>1</v>
      </c>
      <c r="AV114" s="22" t="n">
        <v>0</v>
      </c>
      <c r="AW114" s="22" t="n">
        <v>0</v>
      </c>
      <c r="AX114" s="22" t="n">
        <v>0</v>
      </c>
      <c r="AY114" s="22" t="s">
        <v>160</v>
      </c>
      <c r="AZ114" s="22" t="s">
        <v>911</v>
      </c>
    </row>
    <row r="115" customFormat="false" ht="14.25" hidden="false" customHeight="false" outlineLevel="0" collapsed="false">
      <c r="B115" s="22" t="n">
        <v>155</v>
      </c>
      <c r="C115" s="22" t="s">
        <v>912</v>
      </c>
      <c r="D115" s="22" t="s">
        <v>16</v>
      </c>
      <c r="E115" s="22" t="s">
        <v>21</v>
      </c>
      <c r="F115" s="22" t="n">
        <v>50000032</v>
      </c>
      <c r="G115" s="22" t="s">
        <v>120</v>
      </c>
      <c r="H115" s="22" t="s">
        <v>207</v>
      </c>
      <c r="I115" s="22" t="s">
        <v>122</v>
      </c>
      <c r="J115" s="22" t="s">
        <v>913</v>
      </c>
      <c r="K115" s="22" t="s">
        <v>912</v>
      </c>
      <c r="L115" s="22" t="s">
        <v>22</v>
      </c>
      <c r="M115" s="22" t="s">
        <v>153</v>
      </c>
      <c r="N115" s="22" t="s">
        <v>914</v>
      </c>
      <c r="O115" s="22" t="n">
        <v>162</v>
      </c>
      <c r="P115" s="22" t="n">
        <v>567</v>
      </c>
      <c r="Q115" s="22" t="s">
        <v>127</v>
      </c>
      <c r="R115" s="22" t="s">
        <v>915</v>
      </c>
      <c r="S115" s="22" t="n">
        <v>515004</v>
      </c>
      <c r="T115" s="22" t="n">
        <v>14.6677932</v>
      </c>
      <c r="U115" s="22" t="n">
        <v>77.5963041</v>
      </c>
      <c r="V115" s="22" t="s">
        <v>129</v>
      </c>
      <c r="W115" s="22" t="n">
        <v>2017</v>
      </c>
      <c r="X115" s="23" t="n">
        <v>44379</v>
      </c>
      <c r="Y115" s="22" t="n">
        <v>2600</v>
      </c>
      <c r="Z115" s="22" t="n">
        <v>2600</v>
      </c>
      <c r="AA115" s="22" t="s">
        <v>23</v>
      </c>
      <c r="AB115" s="22" t="s">
        <v>916</v>
      </c>
      <c r="AC115" s="22" t="s">
        <v>917</v>
      </c>
      <c r="AD115" s="22" t="s">
        <v>918</v>
      </c>
      <c r="AE115" s="22" t="s">
        <v>919</v>
      </c>
      <c r="AF115" s="22" t="s">
        <v>920</v>
      </c>
      <c r="AG115" s="22" t="s">
        <v>921</v>
      </c>
      <c r="AH115" s="22" t="s">
        <v>230</v>
      </c>
      <c r="AI115" s="22" t="s">
        <v>314</v>
      </c>
      <c r="AJ115" s="22" t="n">
        <v>40</v>
      </c>
      <c r="AK115" s="22" t="n">
        <v>3</v>
      </c>
      <c r="AL115" s="22" t="n">
        <v>3</v>
      </c>
      <c r="AM115" s="22" t="n">
        <f aca="false">AL115+AK115+AJ115</f>
        <v>46</v>
      </c>
      <c r="AN115" s="27" t="n">
        <f aca="false">SUM(AL115:AM115)</f>
        <v>49</v>
      </c>
      <c r="AO115" s="27" t="n">
        <f aca="false">SUM(AM115:AN115)</f>
        <v>95</v>
      </c>
      <c r="AP115" s="22" t="n">
        <f aca="false">AN115+AO115</f>
        <v>144</v>
      </c>
      <c r="AQ115" s="22" t="n">
        <v>2</v>
      </c>
      <c r="AR115" s="22" t="n">
        <v>1</v>
      </c>
      <c r="AS115" s="22" t="n">
        <v>0</v>
      </c>
      <c r="AT115" s="22" t="n">
        <v>1</v>
      </c>
      <c r="AU115" s="22" t="n">
        <v>0</v>
      </c>
      <c r="AV115" s="22" t="n">
        <v>1</v>
      </c>
      <c r="AW115" s="22" t="n">
        <v>1</v>
      </c>
      <c r="AX115" s="22" t="n">
        <v>0</v>
      </c>
      <c r="AY115" s="22" t="s">
        <v>160</v>
      </c>
      <c r="AZ115" s="22" t="s">
        <v>139</v>
      </c>
    </row>
    <row r="116" customFormat="false" ht="14.25" hidden="false" customHeight="false" outlineLevel="0" collapsed="false">
      <c r="B116" s="22" t="n">
        <v>156</v>
      </c>
      <c r="C116" s="22" t="s">
        <v>922</v>
      </c>
      <c r="D116" s="22" t="s">
        <v>16</v>
      </c>
      <c r="E116" s="22" t="s">
        <v>21</v>
      </c>
      <c r="F116" s="22" t="n">
        <v>50000160</v>
      </c>
      <c r="G116" s="22" t="s">
        <v>120</v>
      </c>
      <c r="H116" s="22" t="s">
        <v>207</v>
      </c>
      <c r="I116" s="22" t="s">
        <v>122</v>
      </c>
      <c r="J116" s="22" t="s">
        <v>922</v>
      </c>
      <c r="K116" s="22" t="s">
        <v>922</v>
      </c>
      <c r="L116" s="22" t="s">
        <v>22</v>
      </c>
      <c r="M116" s="22" t="s">
        <v>153</v>
      </c>
      <c r="N116" s="22" t="s">
        <v>923</v>
      </c>
      <c r="O116" s="22" t="n">
        <v>167</v>
      </c>
      <c r="P116" s="22" t="n">
        <v>572</v>
      </c>
      <c r="Q116" s="22" t="s">
        <v>127</v>
      </c>
      <c r="R116" s="22" t="s">
        <v>924</v>
      </c>
      <c r="S116" s="22" t="n">
        <v>517001</v>
      </c>
      <c r="T116" s="22" t="n">
        <v>13.2221941</v>
      </c>
      <c r="U116" s="22" t="n">
        <v>79.0996697</v>
      </c>
      <c r="V116" s="22" t="s">
        <v>129</v>
      </c>
      <c r="W116" s="22" t="n">
        <v>2016</v>
      </c>
      <c r="X116" s="23" t="n">
        <v>42474</v>
      </c>
      <c r="Y116" s="22" t="n">
        <v>2200</v>
      </c>
      <c r="Z116" s="22" t="n">
        <v>2200</v>
      </c>
      <c r="AA116" s="22" t="s">
        <v>23</v>
      </c>
      <c r="AB116" s="22" t="s">
        <v>916</v>
      </c>
      <c r="AC116" s="22" t="s">
        <v>917</v>
      </c>
      <c r="AD116" s="22" t="s">
        <v>918</v>
      </c>
      <c r="AE116" s="22" t="s">
        <v>925</v>
      </c>
      <c r="AF116" s="22" t="s">
        <v>926</v>
      </c>
      <c r="AG116" s="22" t="s">
        <v>927</v>
      </c>
      <c r="AH116" s="22" t="s">
        <v>473</v>
      </c>
      <c r="AI116" s="22" t="s">
        <v>314</v>
      </c>
      <c r="AJ116" s="22" t="n">
        <v>36</v>
      </c>
      <c r="AK116" s="22" t="n">
        <v>2</v>
      </c>
      <c r="AL116" s="22" t="n">
        <v>2</v>
      </c>
      <c r="AM116" s="22" t="n">
        <f aca="false">AL116+AK116+AJ116</f>
        <v>40</v>
      </c>
      <c r="AN116" s="25" t="n">
        <f aca="false">SUM(AL116:AM116)</f>
        <v>42</v>
      </c>
      <c r="AO116" s="25" t="n">
        <f aca="false">SUM(AM116:AN116)</f>
        <v>82</v>
      </c>
      <c r="AP116" s="22" t="n">
        <f aca="false">AN116+AO116</f>
        <v>124</v>
      </c>
      <c r="AQ116" s="22" t="n">
        <v>1</v>
      </c>
      <c r="AR116" s="22" t="n">
        <v>1</v>
      </c>
      <c r="AS116" s="22" t="n">
        <v>0</v>
      </c>
      <c r="AT116" s="22" t="n">
        <v>0</v>
      </c>
      <c r="AU116" s="22" t="n">
        <v>1</v>
      </c>
      <c r="AV116" s="22" t="n">
        <v>0</v>
      </c>
      <c r="AW116" s="22" t="n">
        <v>0</v>
      </c>
      <c r="AX116" s="22" t="n">
        <v>0</v>
      </c>
      <c r="AY116" s="22" t="s">
        <v>160</v>
      </c>
      <c r="AZ116" s="22" t="s">
        <v>928</v>
      </c>
    </row>
    <row r="117" customFormat="false" ht="14.25" hidden="false" customHeight="false" outlineLevel="0" collapsed="false">
      <c r="B117" s="22" t="n">
        <v>157</v>
      </c>
      <c r="C117" s="22" t="s">
        <v>929</v>
      </c>
      <c r="D117" s="22" t="s">
        <v>16</v>
      </c>
      <c r="E117" s="22" t="s">
        <v>21</v>
      </c>
      <c r="F117" s="22" t="n">
        <v>50000205</v>
      </c>
      <c r="G117" s="22" t="s">
        <v>120</v>
      </c>
      <c r="H117" s="22" t="s">
        <v>121</v>
      </c>
      <c r="I117" s="22" t="s">
        <v>122</v>
      </c>
      <c r="J117" s="22" t="s">
        <v>913</v>
      </c>
      <c r="K117" s="22" t="s">
        <v>930</v>
      </c>
      <c r="L117" s="22" t="s">
        <v>22</v>
      </c>
      <c r="M117" s="22" t="s">
        <v>124</v>
      </c>
      <c r="N117" s="22" t="s">
        <v>931</v>
      </c>
      <c r="O117" s="22" t="n">
        <v>1174</v>
      </c>
      <c r="P117" s="22" t="s">
        <v>932</v>
      </c>
      <c r="Q117" s="22" t="s">
        <v>127</v>
      </c>
      <c r="R117" s="22" t="s">
        <v>933</v>
      </c>
      <c r="S117" s="22" t="n">
        <v>515671</v>
      </c>
      <c r="T117" s="22" t="n">
        <v>14.4091823</v>
      </c>
      <c r="U117" s="22" t="n">
        <v>77.7099087</v>
      </c>
      <c r="V117" s="22" t="s">
        <v>129</v>
      </c>
      <c r="W117" s="22" t="n">
        <v>2017</v>
      </c>
      <c r="X117" s="23" t="n">
        <v>43136</v>
      </c>
      <c r="Y117" s="22" t="n">
        <v>1400</v>
      </c>
      <c r="Z117" s="22" t="n">
        <v>1400</v>
      </c>
      <c r="AA117" s="22" t="s">
        <v>23</v>
      </c>
      <c r="AB117" s="22" t="s">
        <v>916</v>
      </c>
      <c r="AC117" s="22" t="s">
        <v>917</v>
      </c>
      <c r="AD117" s="22" t="s">
        <v>918</v>
      </c>
      <c r="AE117" s="22" t="s">
        <v>934</v>
      </c>
      <c r="AF117" s="22" t="s">
        <v>935</v>
      </c>
      <c r="AG117" s="22" t="s">
        <v>936</v>
      </c>
      <c r="AH117" s="22" t="s">
        <v>473</v>
      </c>
      <c r="AI117" s="22" t="s">
        <v>137</v>
      </c>
      <c r="AJ117" s="22" t="n">
        <v>18</v>
      </c>
      <c r="AK117" s="22" t="n">
        <v>1</v>
      </c>
      <c r="AL117" s="22" t="n">
        <v>2</v>
      </c>
      <c r="AM117" s="22" t="n">
        <f aca="false">AL117+AK117+AJ117</f>
        <v>21</v>
      </c>
      <c r="AN117" s="25" t="n">
        <f aca="false">SUM(AL117:AM117)</f>
        <v>23</v>
      </c>
      <c r="AO117" s="25" t="n">
        <f aca="false">SUM(AM117:AN117)</f>
        <v>44</v>
      </c>
      <c r="AP117" s="22" t="n">
        <f aca="false">AN117+AO117</f>
        <v>67</v>
      </c>
      <c r="AQ117" s="22" t="n">
        <v>2</v>
      </c>
      <c r="AR117" s="22" t="n">
        <v>0</v>
      </c>
      <c r="AS117" s="22" t="n">
        <v>0</v>
      </c>
      <c r="AT117" s="22" t="n">
        <v>0</v>
      </c>
      <c r="AU117" s="22" t="n">
        <v>1</v>
      </c>
      <c r="AV117" s="22" t="n">
        <v>0</v>
      </c>
      <c r="AW117" s="22" t="n">
        <v>0</v>
      </c>
      <c r="AX117" s="22" t="n">
        <v>0</v>
      </c>
      <c r="AY117" s="22" t="s">
        <v>160</v>
      </c>
      <c r="AZ117" s="22" t="s">
        <v>782</v>
      </c>
    </row>
    <row r="118" customFormat="false" ht="14.25" hidden="false" customHeight="false" outlineLevel="0" collapsed="false">
      <c r="B118" s="22" t="n">
        <v>158</v>
      </c>
      <c r="C118" s="22" t="s">
        <v>937</v>
      </c>
      <c r="D118" s="22" t="s">
        <v>16</v>
      </c>
      <c r="E118" s="22" t="s">
        <v>21</v>
      </c>
      <c r="F118" s="22" t="n">
        <v>50000244</v>
      </c>
      <c r="G118" s="22" t="s">
        <v>120</v>
      </c>
      <c r="H118" s="22" t="s">
        <v>121</v>
      </c>
      <c r="I118" s="22" t="s">
        <v>122</v>
      </c>
      <c r="J118" s="22" t="s">
        <v>938</v>
      </c>
      <c r="K118" s="22" t="s">
        <v>939</v>
      </c>
      <c r="L118" s="22" t="s">
        <v>22</v>
      </c>
      <c r="M118" s="22" t="s">
        <v>124</v>
      </c>
      <c r="N118" s="22" t="s">
        <v>940</v>
      </c>
      <c r="O118" s="22" t="n">
        <v>701</v>
      </c>
      <c r="P118" s="22" t="s">
        <v>941</v>
      </c>
      <c r="Q118" s="22" t="s">
        <v>583</v>
      </c>
      <c r="R118" s="22" t="s">
        <v>942</v>
      </c>
      <c r="S118" s="22" t="n">
        <v>524101</v>
      </c>
      <c r="T118" s="22" t="n">
        <v>14.1465188418572</v>
      </c>
      <c r="U118" s="22" t="n">
        <v>79.8503809655203</v>
      </c>
      <c r="V118" s="22" t="s">
        <v>129</v>
      </c>
      <c r="W118" s="22" t="n">
        <v>2016</v>
      </c>
      <c r="X118" s="23" t="n">
        <v>42614</v>
      </c>
      <c r="Y118" s="22" t="n">
        <v>1650</v>
      </c>
      <c r="Z118" s="22" t="n">
        <v>1650</v>
      </c>
      <c r="AA118" s="22" t="s">
        <v>23</v>
      </c>
      <c r="AB118" s="22" t="s">
        <v>916</v>
      </c>
      <c r="AC118" s="22" t="s">
        <v>917</v>
      </c>
      <c r="AD118" s="22" t="s">
        <v>918</v>
      </c>
      <c r="AE118" s="22" t="s">
        <v>943</v>
      </c>
      <c r="AF118" s="22" t="s">
        <v>944</v>
      </c>
      <c r="AG118" s="22" t="s">
        <v>945</v>
      </c>
      <c r="AH118" s="22" t="s">
        <v>473</v>
      </c>
      <c r="AI118" s="22" t="s">
        <v>137</v>
      </c>
      <c r="AJ118" s="22" t="n">
        <v>20</v>
      </c>
      <c r="AK118" s="22" t="n">
        <v>1</v>
      </c>
      <c r="AL118" s="22" t="n">
        <v>2</v>
      </c>
      <c r="AM118" s="22" t="n">
        <f aca="false">AL118+AK118+AJ118</f>
        <v>23</v>
      </c>
      <c r="AN118" s="25" t="n">
        <f aca="false">SUM(AL118:AM118)</f>
        <v>25</v>
      </c>
      <c r="AO118" s="25" t="n">
        <f aca="false">SUM(AM118:AN118)</f>
        <v>48</v>
      </c>
      <c r="AP118" s="22" t="n">
        <f aca="false">AN118+AO118</f>
        <v>73</v>
      </c>
      <c r="AQ118" s="22" t="n">
        <v>0</v>
      </c>
      <c r="AR118" s="22" t="n">
        <v>0</v>
      </c>
      <c r="AS118" s="22" t="n">
        <v>1</v>
      </c>
      <c r="AT118" s="22" t="n">
        <v>0</v>
      </c>
      <c r="AU118" s="22" t="n">
        <v>0</v>
      </c>
      <c r="AV118" s="22" t="n">
        <v>1</v>
      </c>
      <c r="AW118" s="22" t="n">
        <v>0</v>
      </c>
      <c r="AX118" s="22" t="n">
        <v>0</v>
      </c>
      <c r="AY118" s="22" t="s">
        <v>160</v>
      </c>
      <c r="AZ118" s="22" t="s">
        <v>946</v>
      </c>
    </row>
    <row r="119" customFormat="false" ht="14.25" hidden="false" customHeight="false" outlineLevel="0" collapsed="false">
      <c r="B119" s="22" t="n">
        <v>159</v>
      </c>
      <c r="C119" s="22" t="s">
        <v>947</v>
      </c>
      <c r="D119" s="22" t="s">
        <v>16</v>
      </c>
      <c r="E119" s="22" t="s">
        <v>21</v>
      </c>
      <c r="F119" s="22" t="n">
        <v>50000248</v>
      </c>
      <c r="G119" s="22" t="s">
        <v>120</v>
      </c>
      <c r="H119" s="22" t="s">
        <v>121</v>
      </c>
      <c r="I119" s="22" t="s">
        <v>122</v>
      </c>
      <c r="J119" s="22" t="s">
        <v>913</v>
      </c>
      <c r="K119" s="22" t="s">
        <v>912</v>
      </c>
      <c r="L119" s="22" t="s">
        <v>22</v>
      </c>
      <c r="M119" s="22" t="s">
        <v>124</v>
      </c>
      <c r="N119" s="22" t="s">
        <v>948</v>
      </c>
      <c r="O119" s="22" t="n">
        <v>971</v>
      </c>
      <c r="P119" s="22" t="s">
        <v>949</v>
      </c>
      <c r="Q119" s="22" t="s">
        <v>127</v>
      </c>
      <c r="R119" s="22" t="s">
        <v>950</v>
      </c>
      <c r="S119" s="22" t="n">
        <v>515801</v>
      </c>
      <c r="T119" s="22" t="n">
        <v>15.1673489</v>
      </c>
      <c r="U119" s="22" t="n">
        <v>76.801258</v>
      </c>
      <c r="V119" s="22" t="s">
        <v>129</v>
      </c>
      <c r="W119" s="22" t="n">
        <v>2016</v>
      </c>
      <c r="X119" s="23" t="n">
        <v>43104</v>
      </c>
      <c r="Y119" s="22" t="n">
        <v>1600</v>
      </c>
      <c r="Z119" s="22" t="n">
        <v>1600</v>
      </c>
      <c r="AA119" s="22" t="s">
        <v>23</v>
      </c>
      <c r="AB119" s="22" t="s">
        <v>916</v>
      </c>
      <c r="AC119" s="22" t="s">
        <v>917</v>
      </c>
      <c r="AD119" s="22" t="s">
        <v>918</v>
      </c>
      <c r="AE119" s="22" t="s">
        <v>951</v>
      </c>
      <c r="AF119" s="22" t="s">
        <v>952</v>
      </c>
      <c r="AG119" s="22" t="s">
        <v>953</v>
      </c>
      <c r="AH119" s="22" t="s">
        <v>473</v>
      </c>
      <c r="AI119" s="22" t="s">
        <v>137</v>
      </c>
      <c r="AJ119" s="22" t="n">
        <v>11</v>
      </c>
      <c r="AK119" s="22" t="n">
        <v>1</v>
      </c>
      <c r="AL119" s="22" t="n">
        <v>2</v>
      </c>
      <c r="AM119" s="22" t="n">
        <f aca="false">AL119+AK119+AJ119</f>
        <v>14</v>
      </c>
      <c r="AN119" s="25" t="n">
        <f aca="false">SUM(AL119:AM119)</f>
        <v>16</v>
      </c>
      <c r="AO119" s="25" t="n">
        <f aca="false">SUM(AM119:AN119)</f>
        <v>30</v>
      </c>
      <c r="AP119" s="22" t="n">
        <f aca="false">AN119+AO119</f>
        <v>46</v>
      </c>
      <c r="AQ119" s="22" t="n">
        <v>1</v>
      </c>
      <c r="AR119" s="22" t="n">
        <v>1</v>
      </c>
      <c r="AS119" s="22" t="n">
        <v>0</v>
      </c>
      <c r="AT119" s="22" t="n">
        <v>0</v>
      </c>
      <c r="AU119" s="22" t="n">
        <v>1</v>
      </c>
      <c r="AV119" s="22" t="n">
        <v>0</v>
      </c>
      <c r="AW119" s="22" t="n">
        <v>0</v>
      </c>
      <c r="AX119" s="22" t="n">
        <v>0</v>
      </c>
      <c r="AY119" s="22" t="s">
        <v>160</v>
      </c>
      <c r="AZ119" s="22" t="s">
        <v>707</v>
      </c>
    </row>
    <row r="120" customFormat="false" ht="14.25" hidden="false" customHeight="false" outlineLevel="0" collapsed="false">
      <c r="B120" s="22" t="n">
        <v>160</v>
      </c>
      <c r="C120" s="22" t="s">
        <v>954</v>
      </c>
      <c r="D120" s="22" t="s">
        <v>16</v>
      </c>
      <c r="E120" s="22" t="s">
        <v>21</v>
      </c>
      <c r="F120" s="22" t="n">
        <v>50001038</v>
      </c>
      <c r="G120" s="22" t="s">
        <v>120</v>
      </c>
      <c r="H120" s="22" t="s">
        <v>152</v>
      </c>
      <c r="I120" s="22" t="s">
        <v>122</v>
      </c>
      <c r="J120" s="22" t="s">
        <v>913</v>
      </c>
      <c r="K120" s="22" t="s">
        <v>930</v>
      </c>
      <c r="L120" s="22" t="s">
        <v>22</v>
      </c>
      <c r="M120" s="22" t="s">
        <v>153</v>
      </c>
      <c r="N120" s="22" t="s">
        <v>955</v>
      </c>
      <c r="O120" s="22" t="n">
        <v>290</v>
      </c>
      <c r="P120" s="22" t="s">
        <v>956</v>
      </c>
      <c r="Q120" s="22" t="s">
        <v>127</v>
      </c>
      <c r="R120" s="22" t="s">
        <v>957</v>
      </c>
      <c r="S120" s="22" t="n">
        <v>515201</v>
      </c>
      <c r="T120" s="22" t="n">
        <v>13.8287615</v>
      </c>
      <c r="U120" s="22" t="n">
        <v>77.4807548</v>
      </c>
      <c r="V120" s="22" t="s">
        <v>129</v>
      </c>
      <c r="W120" s="22" t="n">
        <v>2017</v>
      </c>
      <c r="X120" s="23" t="n">
        <v>43028</v>
      </c>
      <c r="Y120" s="22" t="n">
        <v>1500</v>
      </c>
      <c r="Z120" s="22" t="n">
        <v>1500</v>
      </c>
      <c r="AA120" s="22" t="s">
        <v>23</v>
      </c>
      <c r="AB120" s="22" t="s">
        <v>916</v>
      </c>
      <c r="AC120" s="22" t="s">
        <v>917</v>
      </c>
      <c r="AD120" s="22" t="s">
        <v>918</v>
      </c>
      <c r="AE120" s="22" t="s">
        <v>958</v>
      </c>
      <c r="AF120" s="22" t="s">
        <v>959</v>
      </c>
      <c r="AG120" s="22" t="s">
        <v>960</v>
      </c>
      <c r="AH120" s="22" t="s">
        <v>473</v>
      </c>
      <c r="AI120" s="22" t="s">
        <v>137</v>
      </c>
      <c r="AJ120" s="22" t="n">
        <v>14</v>
      </c>
      <c r="AK120" s="22" t="n">
        <v>1</v>
      </c>
      <c r="AL120" s="22" t="n">
        <v>2</v>
      </c>
      <c r="AM120" s="22" t="n">
        <f aca="false">AL120+AK120+AJ120</f>
        <v>17</v>
      </c>
      <c r="AN120" s="25" t="n">
        <f aca="false">SUM(AL120:AM120)</f>
        <v>19</v>
      </c>
      <c r="AO120" s="25" t="n">
        <f aca="false">SUM(AM120:AN120)</f>
        <v>36</v>
      </c>
      <c r="AP120" s="22" t="n">
        <f aca="false">AN120+AO120</f>
        <v>55</v>
      </c>
      <c r="AQ120" s="22" t="n">
        <v>1</v>
      </c>
      <c r="AR120" s="22" t="n">
        <v>1</v>
      </c>
      <c r="AS120" s="22" t="n">
        <v>0</v>
      </c>
      <c r="AT120" s="22" t="n">
        <v>0</v>
      </c>
      <c r="AU120" s="22" t="n">
        <v>1</v>
      </c>
      <c r="AV120" s="22" t="n">
        <v>0</v>
      </c>
      <c r="AW120" s="22" t="n">
        <v>0</v>
      </c>
      <c r="AX120" s="22" t="n">
        <v>0</v>
      </c>
      <c r="AY120" s="22" t="s">
        <v>160</v>
      </c>
      <c r="AZ120" s="22" t="s">
        <v>961</v>
      </c>
    </row>
    <row r="121" customFormat="false" ht="14.25" hidden="false" customHeight="false" outlineLevel="0" collapsed="false">
      <c r="B121" s="22" t="n">
        <v>161</v>
      </c>
      <c r="C121" s="22" t="s">
        <v>962</v>
      </c>
      <c r="D121" s="22" t="s">
        <v>16</v>
      </c>
      <c r="E121" s="22" t="s">
        <v>21</v>
      </c>
      <c r="F121" s="22" t="n">
        <v>50000314</v>
      </c>
      <c r="G121" s="22" t="s">
        <v>120</v>
      </c>
      <c r="H121" s="22" t="s">
        <v>207</v>
      </c>
      <c r="I121" s="22" t="s">
        <v>122</v>
      </c>
      <c r="J121" s="22" t="s">
        <v>963</v>
      </c>
      <c r="K121" s="22" t="s">
        <v>964</v>
      </c>
      <c r="L121" s="22" t="s">
        <v>22</v>
      </c>
      <c r="M121" s="22" t="s">
        <v>124</v>
      </c>
      <c r="N121" s="22" t="s">
        <v>965</v>
      </c>
      <c r="O121" s="22" t="n">
        <v>178</v>
      </c>
      <c r="P121" s="22" t="n">
        <v>583</v>
      </c>
      <c r="Q121" s="22" t="s">
        <v>165</v>
      </c>
      <c r="R121" s="22" t="s">
        <v>966</v>
      </c>
      <c r="S121" s="22" t="n">
        <v>516002</v>
      </c>
      <c r="T121" s="22" t="n">
        <v>14.4746021</v>
      </c>
      <c r="U121" s="22" t="n">
        <v>78.8348543</v>
      </c>
      <c r="V121" s="22" t="s">
        <v>129</v>
      </c>
      <c r="W121" s="22" t="n">
        <v>2016</v>
      </c>
      <c r="X121" s="23" t="n">
        <v>42474</v>
      </c>
      <c r="Y121" s="22" t="n">
        <v>1200</v>
      </c>
      <c r="Z121" s="22" t="n">
        <v>1200</v>
      </c>
      <c r="AA121" s="22" t="s">
        <v>23</v>
      </c>
      <c r="AB121" s="22" t="s">
        <v>916</v>
      </c>
      <c r="AC121" s="22" t="s">
        <v>917</v>
      </c>
      <c r="AD121" s="22" t="s">
        <v>918</v>
      </c>
      <c r="AE121" s="22" t="s">
        <v>967</v>
      </c>
      <c r="AF121" s="22" t="s">
        <v>968</v>
      </c>
      <c r="AG121" s="22" t="s">
        <v>969</v>
      </c>
      <c r="AH121" s="22" t="s">
        <v>473</v>
      </c>
      <c r="AI121" s="22" t="s">
        <v>137</v>
      </c>
      <c r="AJ121" s="22" t="n">
        <v>14</v>
      </c>
      <c r="AK121" s="22" t="n">
        <v>2</v>
      </c>
      <c r="AL121" s="22" t="n">
        <v>2</v>
      </c>
      <c r="AM121" s="22" t="n">
        <f aca="false">AL121+AK121+AJ121</f>
        <v>18</v>
      </c>
      <c r="AN121" s="25" t="n">
        <f aca="false">SUM(AL121:AM121)</f>
        <v>20</v>
      </c>
      <c r="AO121" s="25" t="n">
        <f aca="false">SUM(AM121:AN121)</f>
        <v>38</v>
      </c>
      <c r="AP121" s="22" t="n">
        <f aca="false">AN121+AO121</f>
        <v>58</v>
      </c>
      <c r="AQ121" s="22" t="n">
        <v>0</v>
      </c>
      <c r="AR121" s="22" t="n">
        <v>0</v>
      </c>
      <c r="AS121" s="22" t="n">
        <v>1</v>
      </c>
      <c r="AT121" s="22" t="n">
        <v>0</v>
      </c>
      <c r="AU121" s="22" t="n">
        <v>1</v>
      </c>
      <c r="AV121" s="22" t="n">
        <v>0</v>
      </c>
      <c r="AW121" s="22" t="n">
        <v>0</v>
      </c>
      <c r="AX121" s="22" t="n">
        <v>0</v>
      </c>
      <c r="AY121" s="22" t="s">
        <v>160</v>
      </c>
      <c r="AZ121" s="22" t="s">
        <v>928</v>
      </c>
    </row>
    <row r="122" customFormat="false" ht="14.25" hidden="false" customHeight="false" outlineLevel="0" collapsed="false">
      <c r="B122" s="22" t="n">
        <v>162</v>
      </c>
      <c r="C122" s="22" t="s">
        <v>970</v>
      </c>
      <c r="D122" s="22" t="s">
        <v>16</v>
      </c>
      <c r="E122" s="22" t="s">
        <v>21</v>
      </c>
      <c r="F122" s="22" t="n">
        <v>50007172</v>
      </c>
      <c r="G122" s="22" t="s">
        <v>162</v>
      </c>
      <c r="H122" s="22" t="s">
        <v>163</v>
      </c>
      <c r="I122" s="22" t="s">
        <v>122</v>
      </c>
      <c r="J122" s="22" t="s">
        <v>963</v>
      </c>
      <c r="K122" s="22" t="s">
        <v>964</v>
      </c>
      <c r="L122" s="22" t="s">
        <v>22</v>
      </c>
      <c r="M122" s="22" t="s">
        <v>124</v>
      </c>
      <c r="N122" s="22" t="s">
        <v>971</v>
      </c>
      <c r="O122" s="22" t="n">
        <v>178</v>
      </c>
      <c r="P122" s="22" t="n">
        <v>5831</v>
      </c>
      <c r="Q122" s="22" t="s">
        <v>165</v>
      </c>
      <c r="R122" s="22" t="s">
        <v>972</v>
      </c>
      <c r="S122" s="22" t="n">
        <v>516002</v>
      </c>
      <c r="T122" s="22" t="n">
        <v>14.4746021</v>
      </c>
      <c r="U122" s="22" t="n">
        <v>78.8348543</v>
      </c>
      <c r="V122" s="22" t="s">
        <v>129</v>
      </c>
      <c r="W122" s="22" t="n">
        <v>2022</v>
      </c>
      <c r="X122" s="23" t="n">
        <v>44665</v>
      </c>
      <c r="Y122" s="22" t="n">
        <v>850</v>
      </c>
      <c r="Z122" s="22" t="n">
        <v>850</v>
      </c>
      <c r="AA122" s="22" t="s">
        <v>23</v>
      </c>
      <c r="AB122" s="22" t="s">
        <v>916</v>
      </c>
      <c r="AC122" s="22" t="s">
        <v>917</v>
      </c>
      <c r="AD122" s="22" t="s">
        <v>918</v>
      </c>
      <c r="AE122" s="22" t="s">
        <v>973</v>
      </c>
      <c r="AF122" s="22" t="s">
        <v>974</v>
      </c>
      <c r="AG122" s="22" t="s">
        <v>975</v>
      </c>
      <c r="AH122" s="22" t="s">
        <v>473</v>
      </c>
      <c r="AI122" s="22" t="s">
        <v>137</v>
      </c>
      <c r="AJ122" s="22" t="n">
        <v>24</v>
      </c>
      <c r="AK122" s="22" t="n">
        <v>0</v>
      </c>
      <c r="AL122" s="22" t="n">
        <v>0</v>
      </c>
      <c r="AM122" s="22" t="n">
        <f aca="false">AL122+AK122+AJ122</f>
        <v>24</v>
      </c>
      <c r="AN122" s="25" t="n">
        <f aca="false">SUM(AL122:AM122)</f>
        <v>24</v>
      </c>
      <c r="AO122" s="25" t="n">
        <f aca="false">SUM(AM122:AN122)</f>
        <v>48</v>
      </c>
      <c r="AP122" s="22" t="n">
        <f aca="false">AN122+AO122</f>
        <v>72</v>
      </c>
      <c r="AQ122" s="22" t="n">
        <v>0</v>
      </c>
      <c r="AR122" s="22" t="n">
        <v>0</v>
      </c>
      <c r="AS122" s="22" t="n">
        <v>1</v>
      </c>
      <c r="AT122" s="22" t="n">
        <v>0</v>
      </c>
      <c r="AU122" s="22" t="n">
        <v>1</v>
      </c>
      <c r="AV122" s="22" t="n">
        <v>0</v>
      </c>
      <c r="AW122" s="22" t="n">
        <v>0</v>
      </c>
      <c r="AX122" s="22" t="n">
        <v>0</v>
      </c>
      <c r="AY122" s="22" t="s">
        <v>160</v>
      </c>
      <c r="AZ122" s="22" t="s">
        <v>656</v>
      </c>
    </row>
    <row r="123" customFormat="false" ht="14.25" hidden="false" customHeight="false" outlineLevel="0" collapsed="false">
      <c r="B123" s="22" t="n">
        <v>163</v>
      </c>
      <c r="C123" s="22" t="s">
        <v>976</v>
      </c>
      <c r="D123" s="22" t="s">
        <v>16</v>
      </c>
      <c r="E123" s="22" t="s">
        <v>21</v>
      </c>
      <c r="F123" s="22" t="n">
        <v>50000316</v>
      </c>
      <c r="G123" s="22" t="s">
        <v>120</v>
      </c>
      <c r="H123" s="22" t="s">
        <v>141</v>
      </c>
      <c r="I123" s="22" t="s">
        <v>122</v>
      </c>
      <c r="J123" s="22" t="s">
        <v>913</v>
      </c>
      <c r="K123" s="22" t="s">
        <v>930</v>
      </c>
      <c r="L123" s="22" t="s">
        <v>22</v>
      </c>
      <c r="M123" s="22" t="s">
        <v>124</v>
      </c>
      <c r="N123" s="22" t="s">
        <v>977</v>
      </c>
      <c r="O123" s="22" t="n">
        <v>1177</v>
      </c>
      <c r="P123" s="22" t="s">
        <v>978</v>
      </c>
      <c r="Q123" s="22" t="s">
        <v>127</v>
      </c>
      <c r="R123" s="22" t="s">
        <v>979</v>
      </c>
      <c r="S123" s="22" t="n">
        <v>515591</v>
      </c>
      <c r="T123" s="22" t="n">
        <v>14.112147</v>
      </c>
      <c r="U123" s="22" t="n">
        <v>78.1612</v>
      </c>
      <c r="V123" s="22" t="s">
        <v>129</v>
      </c>
      <c r="W123" s="22" t="n">
        <v>2018</v>
      </c>
      <c r="X123" s="23" t="n">
        <v>43191</v>
      </c>
      <c r="Y123" s="22" t="n">
        <v>1100</v>
      </c>
      <c r="Z123" s="22" t="n">
        <v>1100</v>
      </c>
      <c r="AA123" s="22" t="s">
        <v>23</v>
      </c>
      <c r="AB123" s="22" t="s">
        <v>916</v>
      </c>
      <c r="AC123" s="22" t="s">
        <v>917</v>
      </c>
      <c r="AD123" s="22" t="s">
        <v>918</v>
      </c>
      <c r="AE123" s="22" t="s">
        <v>980</v>
      </c>
      <c r="AF123" s="22" t="s">
        <v>981</v>
      </c>
      <c r="AG123" s="22" t="s">
        <v>982</v>
      </c>
      <c r="AH123" s="22" t="s">
        <v>473</v>
      </c>
      <c r="AI123" s="22" t="s">
        <v>137</v>
      </c>
      <c r="AJ123" s="22" t="n">
        <v>18</v>
      </c>
      <c r="AK123" s="22" t="n">
        <v>1</v>
      </c>
      <c r="AL123" s="22" t="n">
        <v>0</v>
      </c>
      <c r="AM123" s="22" t="n">
        <f aca="false">AL123+AK123+AJ123</f>
        <v>19</v>
      </c>
      <c r="AN123" s="25" t="n">
        <f aca="false">SUM(AL123:AM123)</f>
        <v>19</v>
      </c>
      <c r="AO123" s="25" t="n">
        <f aca="false">SUM(AM123:AN123)</f>
        <v>38</v>
      </c>
      <c r="AP123" s="22" t="n">
        <f aca="false">AN123+AO123</f>
        <v>57</v>
      </c>
      <c r="AQ123" s="22" t="n">
        <v>1</v>
      </c>
      <c r="AR123" s="22" t="n">
        <v>1</v>
      </c>
      <c r="AS123" s="22" t="n">
        <v>0</v>
      </c>
      <c r="AT123" s="22" t="n">
        <v>0</v>
      </c>
      <c r="AU123" s="22" t="n">
        <v>1</v>
      </c>
      <c r="AV123" s="22" t="n">
        <v>0</v>
      </c>
      <c r="AW123" s="22" t="n">
        <v>0</v>
      </c>
      <c r="AX123" s="22" t="n">
        <v>0</v>
      </c>
      <c r="AY123" s="22" t="s">
        <v>160</v>
      </c>
      <c r="AZ123" s="22" t="s">
        <v>911</v>
      </c>
    </row>
    <row r="124" customFormat="false" ht="14.25" hidden="false" customHeight="false" outlineLevel="0" collapsed="false">
      <c r="B124" s="22" t="n">
        <v>164</v>
      </c>
      <c r="C124" s="22" t="s">
        <v>983</v>
      </c>
      <c r="D124" s="22" t="s">
        <v>16</v>
      </c>
      <c r="E124" s="22" t="s">
        <v>21</v>
      </c>
      <c r="F124" s="22" t="n">
        <v>50001984</v>
      </c>
      <c r="G124" s="22" t="s">
        <v>120</v>
      </c>
      <c r="H124" s="22" t="s">
        <v>141</v>
      </c>
      <c r="I124" s="22" t="s">
        <v>122</v>
      </c>
      <c r="J124" s="22" t="s">
        <v>913</v>
      </c>
      <c r="K124" s="22" t="s">
        <v>912</v>
      </c>
      <c r="L124" s="22" t="s">
        <v>22</v>
      </c>
      <c r="M124" s="22" t="s">
        <v>124</v>
      </c>
      <c r="N124" s="22" t="s">
        <v>984</v>
      </c>
      <c r="O124" s="22" t="n">
        <v>8565</v>
      </c>
      <c r="P124" s="22" t="s">
        <v>985</v>
      </c>
      <c r="Q124" s="22" t="s">
        <v>127</v>
      </c>
      <c r="R124" s="22" t="s">
        <v>986</v>
      </c>
      <c r="S124" s="22" t="n">
        <v>515761</v>
      </c>
      <c r="T124" s="22" t="n">
        <v>14.5491556</v>
      </c>
      <c r="U124" s="22" t="n">
        <v>77.111218</v>
      </c>
      <c r="V124" s="22" t="s">
        <v>129</v>
      </c>
      <c r="W124" s="22" t="n">
        <v>2020</v>
      </c>
      <c r="X124" s="23" t="n">
        <v>44011</v>
      </c>
      <c r="Y124" s="22" t="n">
        <v>2000</v>
      </c>
      <c r="Z124" s="22" t="n">
        <v>2000</v>
      </c>
      <c r="AA124" s="22" t="s">
        <v>23</v>
      </c>
      <c r="AB124" s="22" t="s">
        <v>916</v>
      </c>
      <c r="AC124" s="22" t="s">
        <v>917</v>
      </c>
      <c r="AD124" s="22" t="s">
        <v>918</v>
      </c>
      <c r="AE124" s="22" t="s">
        <v>987</v>
      </c>
      <c r="AF124" s="22" t="s">
        <v>988</v>
      </c>
      <c r="AG124" s="22" t="s">
        <v>989</v>
      </c>
      <c r="AH124" s="22" t="s">
        <v>473</v>
      </c>
      <c r="AI124" s="22" t="s">
        <v>137</v>
      </c>
      <c r="AJ124" s="22" t="n">
        <v>6</v>
      </c>
      <c r="AK124" s="22" t="n">
        <v>1</v>
      </c>
      <c r="AL124" s="22" t="n">
        <v>3</v>
      </c>
      <c r="AM124" s="22" t="n">
        <f aca="false">AL124+AK124+AJ124</f>
        <v>10</v>
      </c>
      <c r="AN124" s="25" t="n">
        <f aca="false">SUM(AL124:AM124)</f>
        <v>13</v>
      </c>
      <c r="AO124" s="25" t="n">
        <f aca="false">SUM(AM124:AN124)</f>
        <v>23</v>
      </c>
      <c r="AP124" s="22" t="n">
        <f aca="false">AN124+AO124</f>
        <v>36</v>
      </c>
      <c r="AQ124" s="22" t="n">
        <v>1</v>
      </c>
      <c r="AR124" s="22" t="n">
        <v>0</v>
      </c>
      <c r="AS124" s="22" t="n">
        <v>0</v>
      </c>
      <c r="AT124" s="22" t="n">
        <v>0</v>
      </c>
      <c r="AU124" s="22" t="n">
        <v>1</v>
      </c>
      <c r="AV124" s="22" t="n">
        <v>0</v>
      </c>
      <c r="AW124" s="22" t="n">
        <v>0</v>
      </c>
      <c r="AX124" s="22" t="n">
        <v>0</v>
      </c>
      <c r="AY124" s="22" t="s">
        <v>138</v>
      </c>
      <c r="AZ124" s="22" t="s">
        <v>715</v>
      </c>
    </row>
    <row r="125" customFormat="false" ht="14.25" hidden="false" customHeight="false" outlineLevel="0" collapsed="false">
      <c r="B125" s="22" t="n">
        <v>165</v>
      </c>
      <c r="C125" s="22" t="s">
        <v>990</v>
      </c>
      <c r="D125" s="22" t="s">
        <v>16</v>
      </c>
      <c r="E125" s="22" t="s">
        <v>21</v>
      </c>
      <c r="F125" s="22" t="n">
        <v>50005208</v>
      </c>
      <c r="G125" s="22" t="s">
        <v>120</v>
      </c>
      <c r="H125" s="22" t="s">
        <v>141</v>
      </c>
      <c r="I125" s="22" t="s">
        <v>122</v>
      </c>
      <c r="J125" s="22" t="s">
        <v>922</v>
      </c>
      <c r="K125" s="22" t="s">
        <v>922</v>
      </c>
      <c r="L125" s="22" t="s">
        <v>22</v>
      </c>
      <c r="M125" s="22" t="s">
        <v>124</v>
      </c>
      <c r="N125" s="22" t="s">
        <v>991</v>
      </c>
      <c r="O125" s="22" t="n">
        <v>12188</v>
      </c>
      <c r="P125" s="22" t="s">
        <v>992</v>
      </c>
      <c r="Q125" s="22" t="s">
        <v>165</v>
      </c>
      <c r="R125" s="22" t="s">
        <v>993</v>
      </c>
      <c r="S125" s="22" t="n">
        <v>517425</v>
      </c>
      <c r="T125" s="22" t="n">
        <v>12.750073</v>
      </c>
      <c r="U125" s="22" t="n">
        <v>78.342436</v>
      </c>
      <c r="V125" s="22" t="s">
        <v>129</v>
      </c>
      <c r="W125" s="22" t="n">
        <v>2023</v>
      </c>
      <c r="X125" s="23" t="n">
        <v>45224</v>
      </c>
      <c r="Y125" s="22" t="n">
        <v>1100</v>
      </c>
      <c r="Z125" s="22" t="n">
        <v>1100</v>
      </c>
      <c r="AA125" s="22" t="s">
        <v>23</v>
      </c>
      <c r="AB125" s="22" t="s">
        <v>916</v>
      </c>
      <c r="AC125" s="22" t="s">
        <v>917</v>
      </c>
      <c r="AD125" s="22" t="s">
        <v>918</v>
      </c>
      <c r="AE125" s="22" t="s">
        <v>994</v>
      </c>
      <c r="AF125" s="22" t="s">
        <v>995</v>
      </c>
      <c r="AG125" s="22" t="s">
        <v>996</v>
      </c>
      <c r="AH125" s="22" t="s">
        <v>473</v>
      </c>
      <c r="AI125" s="22" t="s">
        <v>137</v>
      </c>
      <c r="AJ125" s="22" t="n">
        <v>6</v>
      </c>
      <c r="AK125" s="22" t="n">
        <v>1</v>
      </c>
      <c r="AL125" s="22" t="n">
        <v>0</v>
      </c>
      <c r="AM125" s="22" t="n">
        <f aca="false">AL125+AK125+AJ125</f>
        <v>7</v>
      </c>
      <c r="AN125" s="25" t="n">
        <f aca="false">SUM(AL125:AM125)</f>
        <v>7</v>
      </c>
      <c r="AO125" s="25" t="n">
        <f aca="false">SUM(AM125:AN125)</f>
        <v>14</v>
      </c>
      <c r="AP125" s="22" t="n">
        <f aca="false">AN125+AO125</f>
        <v>21</v>
      </c>
      <c r="AQ125" s="22" t="n">
        <v>1</v>
      </c>
      <c r="AR125" s="22" t="n">
        <v>1</v>
      </c>
      <c r="AS125" s="22" t="n">
        <v>0</v>
      </c>
      <c r="AT125" s="22" t="n">
        <v>0</v>
      </c>
      <c r="AU125" s="22" t="n">
        <v>0</v>
      </c>
      <c r="AV125" s="22" t="n">
        <v>1</v>
      </c>
      <c r="AW125" s="22" t="n">
        <v>0</v>
      </c>
      <c r="AX125" s="22" t="n">
        <v>0</v>
      </c>
      <c r="AY125" s="22" t="s">
        <v>997</v>
      </c>
      <c r="AZ125" s="22" t="s">
        <v>774</v>
      </c>
    </row>
    <row r="126" customFormat="false" ht="14.25" hidden="false" customHeight="false" outlineLevel="0" collapsed="false">
      <c r="B126" s="22" t="n">
        <v>166</v>
      </c>
      <c r="C126" s="22" t="s">
        <v>998</v>
      </c>
      <c r="D126" s="22" t="s">
        <v>16</v>
      </c>
      <c r="E126" s="22" t="s">
        <v>21</v>
      </c>
      <c r="F126" s="22" t="n">
        <v>50000419</v>
      </c>
      <c r="G126" s="22" t="s">
        <v>162</v>
      </c>
      <c r="H126" s="22" t="s">
        <v>163</v>
      </c>
      <c r="I126" s="22" t="s">
        <v>122</v>
      </c>
      <c r="J126" s="22" t="s">
        <v>922</v>
      </c>
      <c r="K126" s="22" t="s">
        <v>999</v>
      </c>
      <c r="L126" s="22" t="s">
        <v>22</v>
      </c>
      <c r="M126" s="22" t="s">
        <v>153</v>
      </c>
      <c r="N126" s="22" t="s">
        <v>1000</v>
      </c>
      <c r="O126" s="22" t="n">
        <v>991</v>
      </c>
      <c r="P126" s="22" t="s">
        <v>1001</v>
      </c>
      <c r="Q126" s="22" t="s">
        <v>165</v>
      </c>
      <c r="R126" s="22" t="s">
        <v>1002</v>
      </c>
      <c r="S126" s="22" t="n">
        <v>517325</v>
      </c>
      <c r="T126" s="22" t="n">
        <v>13.5559381</v>
      </c>
      <c r="U126" s="22" t="n">
        <v>78.4964732</v>
      </c>
      <c r="V126" s="22" t="s">
        <v>129</v>
      </c>
      <c r="W126" s="22" t="n">
        <v>2016</v>
      </c>
      <c r="X126" s="23" t="n">
        <v>42475</v>
      </c>
      <c r="Y126" s="22" t="n">
        <v>1080</v>
      </c>
      <c r="Z126" s="22" t="n">
        <v>1080</v>
      </c>
      <c r="AA126" s="22" t="s">
        <v>23</v>
      </c>
      <c r="AB126" s="22" t="s">
        <v>916</v>
      </c>
      <c r="AC126" s="22" t="s">
        <v>917</v>
      </c>
      <c r="AD126" s="22" t="s">
        <v>918</v>
      </c>
      <c r="AE126" s="22" t="s">
        <v>1003</v>
      </c>
      <c r="AF126" s="22" t="s">
        <v>1004</v>
      </c>
      <c r="AG126" s="22" t="s">
        <v>1005</v>
      </c>
      <c r="AH126" s="22" t="s">
        <v>473</v>
      </c>
      <c r="AI126" s="22" t="s">
        <v>137</v>
      </c>
      <c r="AJ126" s="22" t="n">
        <v>10</v>
      </c>
      <c r="AK126" s="22" t="n">
        <v>1</v>
      </c>
      <c r="AL126" s="22" t="n">
        <v>2</v>
      </c>
      <c r="AM126" s="22" t="n">
        <f aca="false">AL126+AK126+AJ126</f>
        <v>13</v>
      </c>
      <c r="AN126" s="25" t="n">
        <f aca="false">SUM(AL126:AM126)</f>
        <v>15</v>
      </c>
      <c r="AO126" s="25" t="n">
        <f aca="false">SUM(AM126:AN126)</f>
        <v>28</v>
      </c>
      <c r="AP126" s="22" t="n">
        <f aca="false">AN126+AO126</f>
        <v>43</v>
      </c>
      <c r="AQ126" s="22" t="n">
        <v>1</v>
      </c>
      <c r="AR126" s="22" t="n">
        <v>0</v>
      </c>
      <c r="AS126" s="22" t="n">
        <v>0</v>
      </c>
      <c r="AT126" s="22" t="n">
        <v>0</v>
      </c>
      <c r="AU126" s="22" t="n">
        <v>0</v>
      </c>
      <c r="AV126" s="22" t="n">
        <v>1</v>
      </c>
      <c r="AW126" s="22" t="n">
        <v>0</v>
      </c>
      <c r="AX126" s="22" t="n">
        <v>0</v>
      </c>
      <c r="AY126" s="22" t="s">
        <v>160</v>
      </c>
      <c r="AZ126" s="22" t="s">
        <v>928</v>
      </c>
    </row>
    <row r="127" customFormat="false" ht="14.25" hidden="false" customHeight="false" outlineLevel="0" collapsed="false">
      <c r="B127" s="22" t="n">
        <v>167</v>
      </c>
      <c r="C127" s="22" t="s">
        <v>1006</v>
      </c>
      <c r="D127" s="22" t="s">
        <v>16</v>
      </c>
      <c r="E127" s="22" t="s">
        <v>21</v>
      </c>
      <c r="F127" s="22" t="n">
        <v>50007173</v>
      </c>
      <c r="G127" s="22" t="s">
        <v>120</v>
      </c>
      <c r="H127" s="22" t="s">
        <v>207</v>
      </c>
      <c r="I127" s="22" t="s">
        <v>122</v>
      </c>
      <c r="J127" s="22" t="s">
        <v>922</v>
      </c>
      <c r="K127" s="22" t="s">
        <v>999</v>
      </c>
      <c r="L127" s="22" t="s">
        <v>22</v>
      </c>
      <c r="M127" s="22" t="s">
        <v>153</v>
      </c>
      <c r="N127" s="22" t="s">
        <v>1000</v>
      </c>
      <c r="O127" s="22" t="n">
        <v>991</v>
      </c>
      <c r="P127" s="22" t="s">
        <v>1007</v>
      </c>
      <c r="Q127" s="22" t="s">
        <v>127</v>
      </c>
      <c r="R127" s="22" t="s">
        <v>1008</v>
      </c>
      <c r="S127" s="22" t="n">
        <v>517325</v>
      </c>
      <c r="T127" s="22" t="n">
        <v>13.5622215</v>
      </c>
      <c r="U127" s="22" t="n">
        <v>78.4921426</v>
      </c>
      <c r="V127" s="22" t="s">
        <v>129</v>
      </c>
      <c r="W127" s="22" t="n">
        <v>2023</v>
      </c>
      <c r="X127" s="23" t="n">
        <v>45008</v>
      </c>
      <c r="Y127" s="22" t="n">
        <v>1500</v>
      </c>
      <c r="Z127" s="22" t="n">
        <v>1500</v>
      </c>
      <c r="AA127" s="22" t="s">
        <v>23</v>
      </c>
      <c r="AB127" s="22" t="s">
        <v>916</v>
      </c>
      <c r="AC127" s="22" t="s">
        <v>917</v>
      </c>
      <c r="AD127" s="22" t="s">
        <v>918</v>
      </c>
      <c r="AE127" s="22" t="s">
        <v>1003</v>
      </c>
      <c r="AF127" s="22" t="s">
        <v>1004</v>
      </c>
      <c r="AG127" s="22" t="s">
        <v>1005</v>
      </c>
      <c r="AH127" s="22" t="s">
        <v>473</v>
      </c>
      <c r="AI127" s="22" t="s">
        <v>314</v>
      </c>
      <c r="AJ127" s="22" t="n">
        <v>16</v>
      </c>
      <c r="AK127" s="22" t="n">
        <v>1</v>
      </c>
      <c r="AL127" s="22" t="n">
        <v>0</v>
      </c>
      <c r="AM127" s="22" t="n">
        <f aca="false">AL127+AK127+AJ127</f>
        <v>17</v>
      </c>
      <c r="AN127" s="25" t="n">
        <f aca="false">SUM(AL127:AM127)</f>
        <v>17</v>
      </c>
      <c r="AO127" s="25" t="n">
        <f aca="false">SUM(AM127:AN127)</f>
        <v>34</v>
      </c>
      <c r="AP127" s="22" t="n">
        <f aca="false">AN127+AO127</f>
        <v>51</v>
      </c>
      <c r="AQ127" s="22" t="n">
        <v>1</v>
      </c>
      <c r="AR127" s="22" t="n">
        <v>1</v>
      </c>
      <c r="AS127" s="22" t="n">
        <v>0</v>
      </c>
      <c r="AT127" s="22" t="n">
        <v>0</v>
      </c>
      <c r="AU127" s="22" t="n">
        <v>0</v>
      </c>
      <c r="AV127" s="22" t="n">
        <v>1</v>
      </c>
      <c r="AW127" s="22" t="n">
        <v>0</v>
      </c>
      <c r="AX127" s="22" t="n">
        <v>0</v>
      </c>
      <c r="AY127" s="22" t="s">
        <v>160</v>
      </c>
      <c r="AZ127" s="22" t="s">
        <v>656</v>
      </c>
    </row>
    <row r="128" customFormat="false" ht="14.25" hidden="false" customHeight="false" outlineLevel="0" collapsed="false">
      <c r="B128" s="22" t="n">
        <v>168</v>
      </c>
      <c r="C128" s="22" t="s">
        <v>1009</v>
      </c>
      <c r="D128" s="22" t="s">
        <v>16</v>
      </c>
      <c r="E128" s="22" t="s">
        <v>21</v>
      </c>
      <c r="F128" s="22" t="n">
        <v>50005212</v>
      </c>
      <c r="G128" s="22" t="s">
        <v>120</v>
      </c>
      <c r="H128" s="22" t="s">
        <v>141</v>
      </c>
      <c r="I128" s="22" t="s">
        <v>122</v>
      </c>
      <c r="J128" s="22" t="s">
        <v>938</v>
      </c>
      <c r="K128" s="22" t="s">
        <v>1010</v>
      </c>
      <c r="L128" s="22" t="s">
        <v>22</v>
      </c>
      <c r="M128" s="22" t="s">
        <v>124</v>
      </c>
      <c r="N128" s="22" t="s">
        <v>1011</v>
      </c>
      <c r="O128" s="22" t="n">
        <v>12192</v>
      </c>
      <c r="P128" s="22" t="s">
        <v>1012</v>
      </c>
      <c r="Q128" s="22" t="s">
        <v>583</v>
      </c>
      <c r="R128" s="22" t="s">
        <v>1013</v>
      </c>
      <c r="S128" s="22" t="n">
        <v>524126</v>
      </c>
      <c r="T128" s="22" t="n">
        <v>13.902221</v>
      </c>
      <c r="U128" s="22" t="n">
        <v>79.887153</v>
      </c>
      <c r="V128" s="22" t="s">
        <v>129</v>
      </c>
      <c r="W128" s="22" t="n">
        <v>2023</v>
      </c>
      <c r="X128" s="23" t="n">
        <v>45224</v>
      </c>
      <c r="Y128" s="22" t="n">
        <v>750</v>
      </c>
      <c r="Z128" s="22" t="n">
        <v>750</v>
      </c>
      <c r="AA128" s="22" t="s">
        <v>23</v>
      </c>
      <c r="AB128" s="22" t="s">
        <v>916</v>
      </c>
      <c r="AC128" s="22" t="s">
        <v>917</v>
      </c>
      <c r="AD128" s="22" t="s">
        <v>918</v>
      </c>
      <c r="AE128" s="22" t="s">
        <v>1014</v>
      </c>
      <c r="AF128" s="22" t="s">
        <v>1015</v>
      </c>
      <c r="AG128" s="22" t="s">
        <v>1016</v>
      </c>
      <c r="AH128" s="22" t="s">
        <v>473</v>
      </c>
      <c r="AI128" s="22" t="s">
        <v>137</v>
      </c>
      <c r="AJ128" s="22" t="n">
        <v>8</v>
      </c>
      <c r="AK128" s="22" t="n">
        <v>1</v>
      </c>
      <c r="AL128" s="22" t="n">
        <v>0</v>
      </c>
      <c r="AM128" s="22" t="n">
        <f aca="false">AL128+AK128+AJ128</f>
        <v>9</v>
      </c>
      <c r="AN128" s="28" t="n">
        <f aca="false">SUM(AL128:AM128)</f>
        <v>9</v>
      </c>
      <c r="AO128" s="28" t="n">
        <f aca="false">SUM(AM128:AN128)</f>
        <v>18</v>
      </c>
      <c r="AP128" s="22" t="n">
        <f aca="false">AN128+AO128</f>
        <v>27</v>
      </c>
      <c r="AQ128" s="22" t="n">
        <v>1</v>
      </c>
      <c r="AR128" s="22" t="n">
        <v>1</v>
      </c>
      <c r="AS128" s="22" t="n">
        <v>0</v>
      </c>
      <c r="AT128" s="22" t="n">
        <v>0</v>
      </c>
      <c r="AU128" s="22" t="n">
        <v>0</v>
      </c>
      <c r="AV128" s="22" t="n">
        <v>1</v>
      </c>
      <c r="AW128" s="22" t="n">
        <v>0</v>
      </c>
      <c r="AX128" s="22" t="n">
        <v>0</v>
      </c>
      <c r="AY128" s="22" t="s">
        <v>997</v>
      </c>
      <c r="AZ128" s="22" t="s">
        <v>774</v>
      </c>
    </row>
    <row r="129" customFormat="false" ht="14.25" hidden="false" customHeight="false" outlineLevel="0" collapsed="false">
      <c r="B129" s="22" t="n">
        <v>169</v>
      </c>
      <c r="C129" s="22" t="s">
        <v>1017</v>
      </c>
      <c r="D129" s="22" t="s">
        <v>16</v>
      </c>
      <c r="E129" s="22" t="s">
        <v>21</v>
      </c>
      <c r="F129" s="22" t="n">
        <v>50000897</v>
      </c>
      <c r="G129" s="22" t="s">
        <v>120</v>
      </c>
      <c r="H129" s="22" t="s">
        <v>121</v>
      </c>
      <c r="I129" s="22" t="s">
        <v>122</v>
      </c>
      <c r="J129" s="22" t="s">
        <v>922</v>
      </c>
      <c r="K129" s="22" t="s">
        <v>922</v>
      </c>
      <c r="L129" s="22" t="s">
        <v>22</v>
      </c>
      <c r="M129" s="22" t="s">
        <v>124</v>
      </c>
      <c r="N129" s="22" t="s">
        <v>1018</v>
      </c>
      <c r="O129" s="22" t="n">
        <v>2641</v>
      </c>
      <c r="P129" s="22" t="s">
        <v>1019</v>
      </c>
      <c r="Q129" s="22" t="s">
        <v>165</v>
      </c>
      <c r="R129" s="22" t="s">
        <v>1020</v>
      </c>
      <c r="S129" s="22" t="n">
        <v>517408</v>
      </c>
      <c r="T129" s="22" t="n">
        <v>13.2060013298608</v>
      </c>
      <c r="U129" s="22" t="n">
        <v>78.7437894565873</v>
      </c>
      <c r="V129" s="22" t="s">
        <v>129</v>
      </c>
      <c r="W129" s="22" t="n">
        <v>2017</v>
      </c>
      <c r="X129" s="23" t="n">
        <v>42843</v>
      </c>
      <c r="Y129" s="22" t="n">
        <v>1200</v>
      </c>
      <c r="Z129" s="22" t="n">
        <v>1200</v>
      </c>
      <c r="AA129" s="22" t="s">
        <v>23</v>
      </c>
      <c r="AB129" s="22" t="s">
        <v>916</v>
      </c>
      <c r="AC129" s="22" t="s">
        <v>917</v>
      </c>
      <c r="AD129" s="22" t="s">
        <v>918</v>
      </c>
      <c r="AE129" s="22" t="s">
        <v>1021</v>
      </c>
      <c r="AF129" s="22" t="s">
        <v>1022</v>
      </c>
      <c r="AG129" s="22" t="s">
        <v>1023</v>
      </c>
      <c r="AH129" s="22" t="s">
        <v>473</v>
      </c>
      <c r="AI129" s="22" t="s">
        <v>137</v>
      </c>
      <c r="AJ129" s="22" t="n">
        <v>19</v>
      </c>
      <c r="AK129" s="22" t="n">
        <v>1</v>
      </c>
      <c r="AL129" s="22" t="n">
        <v>2</v>
      </c>
      <c r="AM129" s="22" t="n">
        <f aca="false">AL129+AK129+AJ129</f>
        <v>22</v>
      </c>
      <c r="AN129" s="28" t="n">
        <f aca="false">SUM(AL129:AM129)</f>
        <v>24</v>
      </c>
      <c r="AO129" s="28" t="n">
        <f aca="false">SUM(AM129:AN129)</f>
        <v>46</v>
      </c>
      <c r="AP129" s="22" t="n">
        <f aca="false">AN129+AO129</f>
        <v>70</v>
      </c>
      <c r="AQ129" s="22" t="n">
        <v>1</v>
      </c>
      <c r="AR129" s="22" t="n">
        <v>1</v>
      </c>
      <c r="AS129" s="22" t="n">
        <v>0</v>
      </c>
      <c r="AT129" s="22" t="n">
        <v>0</v>
      </c>
      <c r="AU129" s="22" t="n">
        <v>1</v>
      </c>
      <c r="AV129" s="22" t="n">
        <v>0</v>
      </c>
      <c r="AW129" s="22" t="n">
        <v>0</v>
      </c>
      <c r="AX129" s="22" t="n">
        <v>0</v>
      </c>
      <c r="AY129" s="22" t="s">
        <v>160</v>
      </c>
      <c r="AZ129" s="22" t="s">
        <v>755</v>
      </c>
    </row>
    <row r="130" customFormat="false" ht="14.25" hidden="false" customHeight="false" outlineLevel="0" collapsed="false">
      <c r="B130" s="22" t="n">
        <v>170</v>
      </c>
      <c r="C130" s="22" t="s">
        <v>1024</v>
      </c>
      <c r="D130" s="22" t="s">
        <v>16</v>
      </c>
      <c r="E130" s="22" t="s">
        <v>21</v>
      </c>
      <c r="F130" s="22" t="n">
        <v>50000910</v>
      </c>
      <c r="G130" s="22" t="s">
        <v>120</v>
      </c>
      <c r="H130" s="22" t="s">
        <v>121</v>
      </c>
      <c r="I130" s="22" t="s">
        <v>122</v>
      </c>
      <c r="J130" s="22" t="s">
        <v>922</v>
      </c>
      <c r="K130" s="22" t="s">
        <v>999</v>
      </c>
      <c r="L130" s="22" t="s">
        <v>22</v>
      </c>
      <c r="M130" s="22" t="s">
        <v>124</v>
      </c>
      <c r="N130" s="22" t="s">
        <v>1025</v>
      </c>
      <c r="O130" s="22" t="n">
        <v>1021</v>
      </c>
      <c r="P130" s="22" t="s">
        <v>1026</v>
      </c>
      <c r="Q130" s="22" t="s">
        <v>127</v>
      </c>
      <c r="R130" s="22" t="s">
        <v>1027</v>
      </c>
      <c r="S130" s="22" t="n">
        <v>517214</v>
      </c>
      <c r="T130" s="22" t="n">
        <v>13.659220140976</v>
      </c>
      <c r="U130" s="22" t="n">
        <v>78.9474676043372</v>
      </c>
      <c r="V130" s="22" t="s">
        <v>129</v>
      </c>
      <c r="W130" s="22" t="n">
        <v>2017</v>
      </c>
      <c r="X130" s="23" t="n">
        <v>42837</v>
      </c>
      <c r="Y130" s="22" t="n">
        <v>1500</v>
      </c>
      <c r="Z130" s="22" t="n">
        <v>1500</v>
      </c>
      <c r="AA130" s="22" t="s">
        <v>23</v>
      </c>
      <c r="AB130" s="22" t="s">
        <v>916</v>
      </c>
      <c r="AC130" s="22" t="s">
        <v>917</v>
      </c>
      <c r="AD130" s="22" t="s">
        <v>918</v>
      </c>
      <c r="AE130" s="22" t="s">
        <v>1028</v>
      </c>
      <c r="AF130" s="22" t="s">
        <v>1029</v>
      </c>
      <c r="AG130" s="22" t="s">
        <v>1030</v>
      </c>
      <c r="AH130" s="22" t="s">
        <v>473</v>
      </c>
      <c r="AI130" s="22" t="s">
        <v>137</v>
      </c>
      <c r="AJ130" s="22" t="n">
        <v>22</v>
      </c>
      <c r="AK130" s="22" t="n">
        <v>1</v>
      </c>
      <c r="AL130" s="22" t="n">
        <v>2</v>
      </c>
      <c r="AM130" s="22" t="n">
        <f aca="false">AL130+AK130+AJ130</f>
        <v>25</v>
      </c>
      <c r="AN130" s="28" t="n">
        <f aca="false">SUM(AL130:AM130)</f>
        <v>27</v>
      </c>
      <c r="AO130" s="28" t="n">
        <f aca="false">SUM(AM130:AN130)</f>
        <v>52</v>
      </c>
      <c r="AP130" s="22" t="n">
        <f aca="false">AN130+AO130</f>
        <v>79</v>
      </c>
      <c r="AQ130" s="22" t="n">
        <v>0</v>
      </c>
      <c r="AR130" s="22" t="n">
        <v>0</v>
      </c>
      <c r="AS130" s="22" t="n">
        <v>1</v>
      </c>
      <c r="AT130" s="22" t="n">
        <v>0</v>
      </c>
      <c r="AU130" s="22" t="n">
        <v>1</v>
      </c>
      <c r="AV130" s="22" t="n">
        <v>0</v>
      </c>
      <c r="AW130" s="22" t="n">
        <v>0</v>
      </c>
      <c r="AX130" s="22" t="n">
        <v>0</v>
      </c>
      <c r="AY130" s="22" t="s">
        <v>160</v>
      </c>
      <c r="AZ130" s="22" t="s">
        <v>755</v>
      </c>
    </row>
    <row r="131" customFormat="false" ht="14.25" hidden="false" customHeight="false" outlineLevel="0" collapsed="false">
      <c r="B131" s="22" t="n">
        <v>171</v>
      </c>
      <c r="C131" s="22" t="s">
        <v>1031</v>
      </c>
      <c r="D131" s="22" t="s">
        <v>16</v>
      </c>
      <c r="E131" s="22" t="s">
        <v>21</v>
      </c>
      <c r="F131" s="22" t="n">
        <v>50000568</v>
      </c>
      <c r="G131" s="22" t="s">
        <v>120</v>
      </c>
      <c r="H131" s="22" t="s">
        <v>121</v>
      </c>
      <c r="I131" s="22" t="s">
        <v>122</v>
      </c>
      <c r="J131" s="22" t="s">
        <v>1032</v>
      </c>
      <c r="K131" s="22" t="s">
        <v>964</v>
      </c>
      <c r="L131" s="22" t="s">
        <v>22</v>
      </c>
      <c r="M131" s="22" t="s">
        <v>124</v>
      </c>
      <c r="N131" s="22" t="s">
        <v>1033</v>
      </c>
      <c r="O131" s="22" t="n">
        <v>1160</v>
      </c>
      <c r="P131" s="22" t="s">
        <v>1034</v>
      </c>
      <c r="Q131" s="22" t="s">
        <v>127</v>
      </c>
      <c r="R131" s="22" t="s">
        <v>1035</v>
      </c>
      <c r="S131" s="22" t="n">
        <v>516362</v>
      </c>
      <c r="T131" s="22" t="n">
        <v>14.7467726539935</v>
      </c>
      <c r="U131" s="22" t="n">
        <v>78.5574952806908</v>
      </c>
      <c r="V131" s="22" t="s">
        <v>129</v>
      </c>
      <c r="W131" s="22" t="n">
        <v>2016</v>
      </c>
      <c r="X131" s="23" t="n">
        <v>42571</v>
      </c>
      <c r="Y131" s="22" t="n">
        <v>2000</v>
      </c>
      <c r="Z131" s="22" t="n">
        <v>2000</v>
      </c>
      <c r="AA131" s="22" t="s">
        <v>23</v>
      </c>
      <c r="AB131" s="22" t="s">
        <v>916</v>
      </c>
      <c r="AC131" s="22" t="s">
        <v>917</v>
      </c>
      <c r="AD131" s="22" t="s">
        <v>918</v>
      </c>
      <c r="AE131" s="22" t="s">
        <v>1036</v>
      </c>
      <c r="AF131" s="22" t="s">
        <v>1037</v>
      </c>
      <c r="AG131" s="22" t="s">
        <v>1038</v>
      </c>
      <c r="AH131" s="22" t="s">
        <v>473</v>
      </c>
      <c r="AI131" s="22" t="s">
        <v>137</v>
      </c>
      <c r="AJ131" s="22" t="n">
        <v>34</v>
      </c>
      <c r="AK131" s="22" t="n">
        <v>1</v>
      </c>
      <c r="AL131" s="22" t="n">
        <v>2</v>
      </c>
      <c r="AM131" s="22" t="n">
        <f aca="false">AL131+AK131+AJ131</f>
        <v>37</v>
      </c>
      <c r="AN131" s="28" t="n">
        <f aca="false">SUM(AL131:AM131)</f>
        <v>39</v>
      </c>
      <c r="AO131" s="28" t="n">
        <f aca="false">SUM(AM131:AN131)</f>
        <v>76</v>
      </c>
      <c r="AP131" s="22" t="n">
        <f aca="false">AN131+AO131</f>
        <v>115</v>
      </c>
      <c r="AQ131" s="22" t="n">
        <v>2</v>
      </c>
      <c r="AR131" s="22" t="n">
        <v>0</v>
      </c>
      <c r="AS131" s="22" t="n">
        <v>0</v>
      </c>
      <c r="AT131" s="22" t="n">
        <v>0</v>
      </c>
      <c r="AU131" s="22" t="n">
        <v>1</v>
      </c>
      <c r="AV131" s="22" t="n">
        <v>0</v>
      </c>
      <c r="AW131" s="22" t="n">
        <v>0</v>
      </c>
      <c r="AX131" s="22" t="n">
        <v>0</v>
      </c>
      <c r="AY131" s="22" t="s">
        <v>160</v>
      </c>
      <c r="AZ131" s="22" t="s">
        <v>946</v>
      </c>
    </row>
    <row r="132" customFormat="false" ht="14.25" hidden="false" customHeight="false" outlineLevel="0" collapsed="false">
      <c r="B132" s="22" t="n">
        <v>172</v>
      </c>
      <c r="C132" s="22" t="s">
        <v>1039</v>
      </c>
      <c r="D132" s="22" t="s">
        <v>16</v>
      </c>
      <c r="E132" s="22" t="s">
        <v>21</v>
      </c>
      <c r="F132" s="22" t="n">
        <v>50005206</v>
      </c>
      <c r="G132" s="22" t="s">
        <v>120</v>
      </c>
      <c r="H132" s="22" t="s">
        <v>141</v>
      </c>
      <c r="I132" s="22" t="s">
        <v>122</v>
      </c>
      <c r="J132" s="22" t="s">
        <v>1040</v>
      </c>
      <c r="K132" s="22" t="s">
        <v>964</v>
      </c>
      <c r="L132" s="22" t="s">
        <v>22</v>
      </c>
      <c r="M132" s="22" t="s">
        <v>124</v>
      </c>
      <c r="N132" s="22" t="s">
        <v>1041</v>
      </c>
      <c r="O132" s="22" t="n">
        <v>12186</v>
      </c>
      <c r="P132" s="22" t="s">
        <v>1042</v>
      </c>
      <c r="Q132" s="22" t="s">
        <v>127</v>
      </c>
      <c r="R132" s="22" t="s">
        <v>1043</v>
      </c>
      <c r="S132" s="22" t="n">
        <v>516390</v>
      </c>
      <c r="T132" s="22" t="n">
        <v>14.418969</v>
      </c>
      <c r="U132" s="22" t="n">
        <v>78.22573</v>
      </c>
      <c r="V132" s="22" t="s">
        <v>129</v>
      </c>
      <c r="W132" s="22" t="n">
        <v>2023</v>
      </c>
      <c r="X132" s="23" t="n">
        <v>45209</v>
      </c>
      <c r="Y132" s="22" t="n">
        <v>1250</v>
      </c>
      <c r="Z132" s="22" t="n">
        <v>1250</v>
      </c>
      <c r="AA132" s="22" t="s">
        <v>23</v>
      </c>
      <c r="AB132" s="22" t="s">
        <v>916</v>
      </c>
      <c r="AC132" s="22" t="s">
        <v>917</v>
      </c>
      <c r="AD132" s="22" t="s">
        <v>918</v>
      </c>
      <c r="AE132" s="22" t="s">
        <v>1044</v>
      </c>
      <c r="AF132" s="22" t="s">
        <v>1045</v>
      </c>
      <c r="AG132" s="22" t="s">
        <v>1046</v>
      </c>
      <c r="AH132" s="22" t="s">
        <v>473</v>
      </c>
      <c r="AI132" s="22" t="s">
        <v>137</v>
      </c>
      <c r="AJ132" s="22" t="n">
        <v>6</v>
      </c>
      <c r="AK132" s="22" t="n">
        <v>1</v>
      </c>
      <c r="AL132" s="22" t="n">
        <v>0</v>
      </c>
      <c r="AM132" s="22" t="n">
        <f aca="false">AL132+AK132+AJ132</f>
        <v>7</v>
      </c>
      <c r="AN132" s="28" t="n">
        <f aca="false">SUM(AL132:AM132)</f>
        <v>7</v>
      </c>
      <c r="AO132" s="28" t="n">
        <f aca="false">SUM(AM132:AN132)</f>
        <v>14</v>
      </c>
      <c r="AP132" s="22" t="n">
        <f aca="false">AN132+AO132</f>
        <v>21</v>
      </c>
      <c r="AQ132" s="22" t="n">
        <v>1</v>
      </c>
      <c r="AR132" s="22" t="n">
        <v>1</v>
      </c>
      <c r="AS132" s="22" t="n">
        <v>0</v>
      </c>
      <c r="AT132" s="22" t="n">
        <v>0</v>
      </c>
      <c r="AU132" s="22" t="n">
        <v>1</v>
      </c>
      <c r="AV132" s="22" t="n">
        <v>0</v>
      </c>
      <c r="AW132" s="22" t="n">
        <v>0</v>
      </c>
      <c r="AX132" s="22" t="n">
        <v>0</v>
      </c>
      <c r="AY132" s="22" t="s">
        <v>138</v>
      </c>
      <c r="AZ132" s="22" t="s">
        <v>774</v>
      </c>
    </row>
    <row r="133" customFormat="false" ht="14.25" hidden="false" customHeight="false" outlineLevel="0" collapsed="false">
      <c r="B133" s="22" t="n">
        <v>173</v>
      </c>
      <c r="C133" s="22" t="s">
        <v>1047</v>
      </c>
      <c r="D133" s="22" t="s">
        <v>16</v>
      </c>
      <c r="E133" s="22" t="s">
        <v>21</v>
      </c>
      <c r="F133" s="22" t="n">
        <v>50001032</v>
      </c>
      <c r="G133" s="22" t="s">
        <v>120</v>
      </c>
      <c r="H133" s="22" t="s">
        <v>121</v>
      </c>
      <c r="I133" s="22" t="s">
        <v>122</v>
      </c>
      <c r="J133" s="22" t="s">
        <v>1047</v>
      </c>
      <c r="K133" s="22" t="s">
        <v>1010</v>
      </c>
      <c r="L133" s="22" t="s">
        <v>22</v>
      </c>
      <c r="M133" s="22" t="s">
        <v>124</v>
      </c>
      <c r="N133" s="22" t="s">
        <v>1048</v>
      </c>
      <c r="O133" s="22" t="n">
        <v>4315</v>
      </c>
      <c r="P133" s="22" t="s">
        <v>1049</v>
      </c>
      <c r="Q133" s="22" t="s">
        <v>127</v>
      </c>
      <c r="R133" s="22" t="s">
        <v>1050</v>
      </c>
      <c r="S133" s="22" t="n">
        <v>516101</v>
      </c>
      <c r="T133" s="22" t="n">
        <v>13.95605</v>
      </c>
      <c r="U133" s="22" t="n">
        <v>79.35185</v>
      </c>
      <c r="V133" s="22" t="s">
        <v>129</v>
      </c>
      <c r="W133" s="22" t="n">
        <v>2017</v>
      </c>
      <c r="X133" s="23" t="n">
        <v>43054</v>
      </c>
      <c r="Y133" s="22" t="n">
        <v>2700</v>
      </c>
      <c r="Z133" s="22" t="n">
        <v>2700</v>
      </c>
      <c r="AA133" s="22" t="s">
        <v>23</v>
      </c>
      <c r="AB133" s="22" t="s">
        <v>916</v>
      </c>
      <c r="AC133" s="22" t="s">
        <v>917</v>
      </c>
      <c r="AD133" s="22" t="s">
        <v>918</v>
      </c>
      <c r="AE133" s="22" t="s">
        <v>1051</v>
      </c>
      <c r="AF133" s="22" t="s">
        <v>1052</v>
      </c>
      <c r="AG133" s="22" t="s">
        <v>1053</v>
      </c>
      <c r="AH133" s="22" t="s">
        <v>473</v>
      </c>
      <c r="AI133" s="22" t="s">
        <v>137</v>
      </c>
      <c r="AJ133" s="22" t="n">
        <v>12</v>
      </c>
      <c r="AK133" s="22" t="n">
        <v>1</v>
      </c>
      <c r="AL133" s="22" t="n">
        <v>0</v>
      </c>
      <c r="AM133" s="22" t="n">
        <f aca="false">AL133+AK133+AJ133</f>
        <v>13</v>
      </c>
      <c r="AN133" s="28" t="n">
        <f aca="false">SUM(AL133:AM133)</f>
        <v>13</v>
      </c>
      <c r="AO133" s="28" t="n">
        <f aca="false">SUM(AM133:AN133)</f>
        <v>26</v>
      </c>
      <c r="AP133" s="22" t="n">
        <f aca="false">AN133+AO133</f>
        <v>39</v>
      </c>
      <c r="AQ133" s="22" t="n">
        <v>1</v>
      </c>
      <c r="AR133" s="22" t="n">
        <v>0</v>
      </c>
      <c r="AS133" s="22" t="n">
        <v>0</v>
      </c>
      <c r="AT133" s="22" t="n">
        <v>0</v>
      </c>
      <c r="AU133" s="22" t="n">
        <v>1</v>
      </c>
      <c r="AV133" s="22" t="n">
        <v>0</v>
      </c>
      <c r="AW133" s="22" t="n">
        <v>0</v>
      </c>
      <c r="AX133" s="22" t="n">
        <v>0</v>
      </c>
      <c r="AY133" s="22" t="s">
        <v>138</v>
      </c>
      <c r="AZ133" s="22" t="s">
        <v>782</v>
      </c>
    </row>
    <row r="134" customFormat="false" ht="14.25" hidden="false" customHeight="false" outlineLevel="0" collapsed="false">
      <c r="B134" s="22" t="n">
        <v>174</v>
      </c>
      <c r="C134" s="22" t="s">
        <v>1054</v>
      </c>
      <c r="D134" s="22" t="s">
        <v>16</v>
      </c>
      <c r="E134" s="22" t="s">
        <v>21</v>
      </c>
      <c r="F134" s="22" t="n">
        <v>50000849</v>
      </c>
      <c r="G134" s="22" t="s">
        <v>120</v>
      </c>
      <c r="H134" s="22" t="s">
        <v>152</v>
      </c>
      <c r="I134" s="22" t="s">
        <v>122</v>
      </c>
      <c r="J134" s="22" t="s">
        <v>1054</v>
      </c>
      <c r="K134" s="22" t="s">
        <v>999</v>
      </c>
      <c r="L134" s="22" t="s">
        <v>22</v>
      </c>
      <c r="M134" s="22" t="s">
        <v>153</v>
      </c>
      <c r="N134" s="22" t="s">
        <v>1055</v>
      </c>
      <c r="O134" s="22" t="n">
        <v>2156</v>
      </c>
      <c r="P134" s="22" t="s">
        <v>1056</v>
      </c>
      <c r="Q134" s="22" t="s">
        <v>165</v>
      </c>
      <c r="R134" s="22" t="s">
        <v>1057</v>
      </c>
      <c r="S134" s="22" t="n">
        <v>516115</v>
      </c>
      <c r="T134" s="22" t="n">
        <v>14.1879492</v>
      </c>
      <c r="U134" s="22" t="n">
        <v>79.1573903</v>
      </c>
      <c r="V134" s="22" t="s">
        <v>129</v>
      </c>
      <c r="W134" s="22" t="n">
        <v>2017</v>
      </c>
      <c r="X134" s="23" t="n">
        <v>42796</v>
      </c>
      <c r="Y134" s="22" t="n">
        <v>1750</v>
      </c>
      <c r="Z134" s="22" t="n">
        <v>1750</v>
      </c>
      <c r="AA134" s="22" t="s">
        <v>23</v>
      </c>
      <c r="AB134" s="22" t="s">
        <v>916</v>
      </c>
      <c r="AC134" s="22" t="s">
        <v>917</v>
      </c>
      <c r="AD134" s="22" t="s">
        <v>918</v>
      </c>
      <c r="AE134" s="22" t="s">
        <v>1058</v>
      </c>
      <c r="AF134" s="22" t="s">
        <v>1059</v>
      </c>
      <c r="AG134" s="22" t="s">
        <v>1060</v>
      </c>
      <c r="AH134" s="22" t="s">
        <v>473</v>
      </c>
      <c r="AI134" s="22" t="s">
        <v>137</v>
      </c>
      <c r="AJ134" s="22" t="n">
        <v>12</v>
      </c>
      <c r="AK134" s="22" t="n">
        <v>1</v>
      </c>
      <c r="AL134" s="22" t="n">
        <v>2</v>
      </c>
      <c r="AM134" s="22" t="n">
        <f aca="false">AL134+AK134+AJ134</f>
        <v>15</v>
      </c>
      <c r="AN134" s="28" t="n">
        <f aca="false">SUM(AL134:AM134)</f>
        <v>17</v>
      </c>
      <c r="AO134" s="28" t="n">
        <f aca="false">SUM(AM134:AN134)</f>
        <v>32</v>
      </c>
      <c r="AP134" s="22" t="n">
        <f aca="false">AN134+AO134</f>
        <v>49</v>
      </c>
      <c r="AQ134" s="22" t="n">
        <v>0</v>
      </c>
      <c r="AR134" s="22" t="n">
        <v>0</v>
      </c>
      <c r="AS134" s="22" t="n">
        <v>1</v>
      </c>
      <c r="AT134" s="22" t="n">
        <v>0</v>
      </c>
      <c r="AU134" s="22" t="n">
        <v>1</v>
      </c>
      <c r="AV134" s="22" t="n">
        <v>0</v>
      </c>
      <c r="AW134" s="22" t="n">
        <v>0</v>
      </c>
      <c r="AX134" s="22" t="n">
        <v>0</v>
      </c>
      <c r="AY134" s="22" t="s">
        <v>160</v>
      </c>
      <c r="AZ134" s="22" t="s">
        <v>672</v>
      </c>
    </row>
    <row r="135" customFormat="false" ht="14.25" hidden="false" customHeight="false" outlineLevel="0" collapsed="false">
      <c r="B135" s="22" t="n">
        <v>175</v>
      </c>
      <c r="C135" s="22" t="s">
        <v>1061</v>
      </c>
      <c r="D135" s="22" t="s">
        <v>16</v>
      </c>
      <c r="E135" s="22" t="s">
        <v>21</v>
      </c>
      <c r="F135" s="22" t="n">
        <v>50000613</v>
      </c>
      <c r="G135" s="22" t="s">
        <v>120</v>
      </c>
      <c r="H135" s="22" t="s">
        <v>121</v>
      </c>
      <c r="I135" s="22" t="s">
        <v>122</v>
      </c>
      <c r="J135" s="22" t="s">
        <v>1061</v>
      </c>
      <c r="K135" s="22" t="s">
        <v>999</v>
      </c>
      <c r="L135" s="22" t="s">
        <v>22</v>
      </c>
      <c r="M135" s="22" t="s">
        <v>124</v>
      </c>
      <c r="N135" s="22" t="s">
        <v>1062</v>
      </c>
      <c r="O135" s="22" t="n">
        <v>1161</v>
      </c>
      <c r="P135" s="22" t="s">
        <v>1063</v>
      </c>
      <c r="Q135" s="22" t="s">
        <v>127</v>
      </c>
      <c r="R135" s="22" t="s">
        <v>1064</v>
      </c>
      <c r="S135" s="22" t="n">
        <v>516269</v>
      </c>
      <c r="T135" s="22" t="n">
        <v>14.0589423092878</v>
      </c>
      <c r="U135" s="22" t="n">
        <v>78.7534146846587</v>
      </c>
      <c r="V135" s="22" t="s">
        <v>129</v>
      </c>
      <c r="W135" s="22" t="n">
        <v>2022</v>
      </c>
      <c r="X135" s="23" t="n">
        <v>44762</v>
      </c>
      <c r="Y135" s="22" t="n">
        <v>1600</v>
      </c>
      <c r="Z135" s="22" t="n">
        <v>1600</v>
      </c>
      <c r="AA135" s="22" t="s">
        <v>23</v>
      </c>
      <c r="AB135" s="22" t="s">
        <v>916</v>
      </c>
      <c r="AC135" s="22" t="s">
        <v>917</v>
      </c>
      <c r="AD135" s="22" t="s">
        <v>918</v>
      </c>
      <c r="AE135" s="22" t="s">
        <v>1065</v>
      </c>
      <c r="AF135" s="22" t="s">
        <v>1066</v>
      </c>
      <c r="AG135" s="22" t="s">
        <v>1067</v>
      </c>
      <c r="AH135" s="22" t="s">
        <v>473</v>
      </c>
      <c r="AI135" s="22" t="s">
        <v>137</v>
      </c>
      <c r="AJ135" s="22" t="n">
        <v>22</v>
      </c>
      <c r="AK135" s="22" t="n">
        <v>1</v>
      </c>
      <c r="AL135" s="22" t="n">
        <v>2</v>
      </c>
      <c r="AM135" s="22" t="n">
        <f aca="false">AL135+AK135+AJ135</f>
        <v>25</v>
      </c>
      <c r="AN135" s="28" t="n">
        <f aca="false">SUM(AL135:AM135)</f>
        <v>27</v>
      </c>
      <c r="AO135" s="28" t="n">
        <f aca="false">SUM(AM135:AN135)</f>
        <v>52</v>
      </c>
      <c r="AP135" s="22" t="n">
        <f aca="false">AN135+AO135</f>
        <v>79</v>
      </c>
      <c r="AQ135" s="22" t="n">
        <v>1</v>
      </c>
      <c r="AR135" s="22" t="n">
        <v>0</v>
      </c>
      <c r="AS135" s="22" t="n">
        <v>0</v>
      </c>
      <c r="AT135" s="22" t="n">
        <v>0</v>
      </c>
      <c r="AU135" s="22" t="n">
        <v>1</v>
      </c>
      <c r="AV135" s="22" t="n">
        <v>0</v>
      </c>
      <c r="AW135" s="22" t="n">
        <v>0</v>
      </c>
      <c r="AX135" s="22" t="n">
        <v>0</v>
      </c>
      <c r="AY135" s="22" t="s">
        <v>160</v>
      </c>
      <c r="AZ135" s="22" t="s">
        <v>946</v>
      </c>
    </row>
    <row r="136" customFormat="false" ht="14.25" hidden="false" customHeight="false" outlineLevel="0" collapsed="false">
      <c r="B136" s="22" t="n">
        <v>176</v>
      </c>
      <c r="C136" s="22" t="s">
        <v>1068</v>
      </c>
      <c r="D136" s="22" t="s">
        <v>16</v>
      </c>
      <c r="E136" s="22" t="s">
        <v>21</v>
      </c>
      <c r="F136" s="22" t="n">
        <v>50005339</v>
      </c>
      <c r="G136" s="22" t="s">
        <v>120</v>
      </c>
      <c r="H136" s="22" t="s">
        <v>141</v>
      </c>
      <c r="I136" s="22" t="s">
        <v>122</v>
      </c>
      <c r="J136" s="22" t="s">
        <v>913</v>
      </c>
      <c r="K136" s="22" t="s">
        <v>912</v>
      </c>
      <c r="L136" s="22" t="s">
        <v>22</v>
      </c>
      <c r="M136" s="22" t="s">
        <v>124</v>
      </c>
      <c r="N136" s="22" t="s">
        <v>1069</v>
      </c>
      <c r="O136" s="22" t="s">
        <v>1070</v>
      </c>
      <c r="P136" s="22" t="s">
        <v>1071</v>
      </c>
      <c r="Q136" s="22" t="s">
        <v>127</v>
      </c>
      <c r="R136" s="22" t="s">
        <v>1072</v>
      </c>
      <c r="S136" s="22" t="n">
        <v>515865</v>
      </c>
      <c r="T136" s="22" t="n">
        <v>14.703056</v>
      </c>
      <c r="U136" s="22" t="n">
        <v>76.849115</v>
      </c>
      <c r="V136" s="22" t="s">
        <v>129</v>
      </c>
      <c r="W136" s="22" t="n">
        <v>2023</v>
      </c>
      <c r="X136" s="23" t="n">
        <v>45224</v>
      </c>
      <c r="Y136" s="22" t="n">
        <v>1100</v>
      </c>
      <c r="Z136" s="22" t="n">
        <v>1100</v>
      </c>
      <c r="AA136" s="22" t="s">
        <v>23</v>
      </c>
      <c r="AB136" s="22" t="s">
        <v>916</v>
      </c>
      <c r="AC136" s="22" t="s">
        <v>917</v>
      </c>
      <c r="AD136" s="22" t="s">
        <v>918</v>
      </c>
      <c r="AE136" s="22" t="s">
        <v>1073</v>
      </c>
      <c r="AF136" s="22" t="s">
        <v>1074</v>
      </c>
      <c r="AG136" s="22" t="s">
        <v>1075</v>
      </c>
      <c r="AH136" s="22" t="s">
        <v>473</v>
      </c>
      <c r="AI136" s="22" t="s">
        <v>137</v>
      </c>
      <c r="AJ136" s="22" t="n">
        <v>6</v>
      </c>
      <c r="AK136" s="22" t="n">
        <v>1</v>
      </c>
      <c r="AL136" s="22" t="n">
        <v>0</v>
      </c>
      <c r="AM136" s="22" t="n">
        <f aca="false">AL136+AK136+AJ136</f>
        <v>7</v>
      </c>
      <c r="AN136" s="28" t="n">
        <f aca="false">SUM(AL136:AM136)</f>
        <v>7</v>
      </c>
      <c r="AO136" s="28" t="n">
        <f aca="false">SUM(AM136:AN136)</f>
        <v>14</v>
      </c>
      <c r="AP136" s="22" t="n">
        <f aca="false">AN136+AO136</f>
        <v>21</v>
      </c>
      <c r="AQ136" s="22" t="n">
        <v>1</v>
      </c>
      <c r="AR136" s="22" t="n">
        <v>1</v>
      </c>
      <c r="AS136" s="22" t="n">
        <v>0</v>
      </c>
      <c r="AT136" s="22" t="n">
        <v>0</v>
      </c>
      <c r="AU136" s="22" t="n">
        <v>1</v>
      </c>
      <c r="AV136" s="22" t="n">
        <v>0</v>
      </c>
      <c r="AW136" s="22" t="n">
        <v>0</v>
      </c>
      <c r="AX136" s="22" t="n">
        <v>0</v>
      </c>
      <c r="AY136" s="22" t="s">
        <v>138</v>
      </c>
      <c r="AZ136" s="22" t="s">
        <v>774</v>
      </c>
    </row>
    <row r="137" customFormat="false" ht="14.25" hidden="false" customHeight="false" outlineLevel="0" collapsed="false">
      <c r="B137" s="22" t="n">
        <v>177</v>
      </c>
      <c r="C137" s="22" t="s">
        <v>1076</v>
      </c>
      <c r="D137" s="22" t="s">
        <v>16</v>
      </c>
      <c r="E137" s="22" t="s">
        <v>21</v>
      </c>
      <c r="F137" s="22" t="n">
        <v>50001101</v>
      </c>
      <c r="G137" s="22" t="s">
        <v>120</v>
      </c>
      <c r="H137" s="22" t="s">
        <v>152</v>
      </c>
      <c r="I137" s="22" t="s">
        <v>122</v>
      </c>
      <c r="J137" s="22" t="s">
        <v>922</v>
      </c>
      <c r="K137" s="22" t="s">
        <v>1010</v>
      </c>
      <c r="L137" s="22" t="s">
        <v>22</v>
      </c>
      <c r="M137" s="22" t="s">
        <v>153</v>
      </c>
      <c r="N137" s="22" t="s">
        <v>1077</v>
      </c>
      <c r="O137" s="22" t="n">
        <v>5527</v>
      </c>
      <c r="P137" s="22" t="s">
        <v>1078</v>
      </c>
      <c r="Q137" s="22" t="s">
        <v>127</v>
      </c>
      <c r="R137" s="22" t="s">
        <v>1079</v>
      </c>
      <c r="S137" s="22" t="n">
        <v>517644</v>
      </c>
      <c r="T137" s="22" t="n">
        <v>13.752105</v>
      </c>
      <c r="U137" s="22" t="n">
        <v>79.701552</v>
      </c>
      <c r="V137" s="22" t="s">
        <v>129</v>
      </c>
      <c r="W137" s="22" t="n">
        <v>2018</v>
      </c>
      <c r="X137" s="23" t="n">
        <v>43123</v>
      </c>
      <c r="Y137" s="22" t="n">
        <v>1400</v>
      </c>
      <c r="Z137" s="22" t="n">
        <v>1400</v>
      </c>
      <c r="AA137" s="22" t="s">
        <v>23</v>
      </c>
      <c r="AB137" s="22" t="s">
        <v>916</v>
      </c>
      <c r="AC137" s="22" t="s">
        <v>917</v>
      </c>
      <c r="AD137" s="22" t="s">
        <v>918</v>
      </c>
      <c r="AE137" s="22" t="s">
        <v>1080</v>
      </c>
      <c r="AF137" s="22" t="s">
        <v>1081</v>
      </c>
      <c r="AG137" s="22" t="s">
        <v>1082</v>
      </c>
      <c r="AH137" s="22" t="s">
        <v>473</v>
      </c>
      <c r="AI137" s="22" t="s">
        <v>314</v>
      </c>
      <c r="AJ137" s="22" t="n">
        <v>16</v>
      </c>
      <c r="AK137" s="22" t="n">
        <v>1</v>
      </c>
      <c r="AL137" s="22" t="n">
        <v>2</v>
      </c>
      <c r="AM137" s="22" t="n">
        <f aca="false">AL137+AK137+AJ137</f>
        <v>19</v>
      </c>
      <c r="AN137" s="28" t="n">
        <f aca="false">SUM(AL137:AM137)</f>
        <v>21</v>
      </c>
      <c r="AO137" s="28" t="n">
        <f aca="false">SUM(AM137:AN137)</f>
        <v>40</v>
      </c>
      <c r="AP137" s="22" t="n">
        <f aca="false">AN137+AO137</f>
        <v>61</v>
      </c>
      <c r="AQ137" s="22" t="n">
        <v>0</v>
      </c>
      <c r="AR137" s="22" t="n">
        <v>0</v>
      </c>
      <c r="AS137" s="22" t="n">
        <v>1</v>
      </c>
      <c r="AT137" s="22" t="n">
        <v>0</v>
      </c>
      <c r="AU137" s="22" t="n">
        <v>1</v>
      </c>
      <c r="AV137" s="22" t="n">
        <v>0</v>
      </c>
      <c r="AW137" s="22" t="n">
        <v>0</v>
      </c>
      <c r="AX137" s="22" t="n">
        <v>0</v>
      </c>
      <c r="AY137" s="22" t="s">
        <v>160</v>
      </c>
      <c r="AZ137" s="22" t="s">
        <v>1083</v>
      </c>
    </row>
    <row r="138" customFormat="false" ht="14.25" hidden="false" customHeight="false" outlineLevel="0" collapsed="false">
      <c r="B138" s="22" t="n">
        <v>178</v>
      </c>
      <c r="C138" s="22" t="s">
        <v>1084</v>
      </c>
      <c r="D138" s="22" t="s">
        <v>16</v>
      </c>
      <c r="E138" s="22" t="s">
        <v>21</v>
      </c>
      <c r="F138" s="22" t="n">
        <v>50000708</v>
      </c>
      <c r="G138" s="22" t="s">
        <v>120</v>
      </c>
      <c r="H138" s="22" t="s">
        <v>121</v>
      </c>
      <c r="I138" s="22" t="s">
        <v>122</v>
      </c>
      <c r="J138" s="22" t="s">
        <v>938</v>
      </c>
      <c r="K138" s="22" t="s">
        <v>1010</v>
      </c>
      <c r="L138" s="22" t="s">
        <v>22</v>
      </c>
      <c r="M138" s="22" t="s">
        <v>124</v>
      </c>
      <c r="N138" s="22" t="s">
        <v>1085</v>
      </c>
      <c r="O138" s="22" t="n">
        <v>1901</v>
      </c>
      <c r="P138" s="22" t="s">
        <v>1086</v>
      </c>
      <c r="Q138" s="22" t="s">
        <v>127</v>
      </c>
      <c r="R138" s="22" t="s">
        <v>1087</v>
      </c>
      <c r="S138" s="22" t="n">
        <v>524121</v>
      </c>
      <c r="T138" s="22" t="n">
        <v>14.4085186963303</v>
      </c>
      <c r="U138" s="22" t="n">
        <v>79.9534378385411</v>
      </c>
      <c r="V138" s="22" t="s">
        <v>129</v>
      </c>
      <c r="W138" s="22" t="n">
        <v>2018</v>
      </c>
      <c r="X138" s="23" t="n">
        <v>43154</v>
      </c>
      <c r="Y138" s="22" t="n">
        <v>1650</v>
      </c>
      <c r="Z138" s="22" t="n">
        <v>1650</v>
      </c>
      <c r="AA138" s="22" t="s">
        <v>23</v>
      </c>
      <c r="AB138" s="22" t="s">
        <v>916</v>
      </c>
      <c r="AC138" s="22" t="s">
        <v>917</v>
      </c>
      <c r="AD138" s="22" t="s">
        <v>918</v>
      </c>
      <c r="AE138" s="22" t="s">
        <v>1088</v>
      </c>
      <c r="AF138" s="22" t="s">
        <v>1089</v>
      </c>
      <c r="AG138" s="22" t="s">
        <v>1090</v>
      </c>
      <c r="AH138" s="22" t="s">
        <v>473</v>
      </c>
      <c r="AI138" s="22" t="s">
        <v>137</v>
      </c>
      <c r="AJ138" s="22" t="n">
        <v>12</v>
      </c>
      <c r="AK138" s="22" t="n">
        <v>1</v>
      </c>
      <c r="AL138" s="22" t="n">
        <v>2</v>
      </c>
      <c r="AM138" s="22" t="n">
        <f aca="false">AL138+AK138+AJ138</f>
        <v>15</v>
      </c>
      <c r="AN138" s="28" t="n">
        <f aca="false">SUM(AL138:AM138)</f>
        <v>17</v>
      </c>
      <c r="AO138" s="28" t="n">
        <f aca="false">SUM(AM138:AN138)</f>
        <v>32</v>
      </c>
      <c r="AP138" s="22" t="n">
        <f aca="false">AN138+AO138</f>
        <v>49</v>
      </c>
      <c r="AQ138" s="22" t="n">
        <v>2</v>
      </c>
      <c r="AR138" s="22" t="n">
        <v>1</v>
      </c>
      <c r="AS138" s="22" t="n">
        <v>0</v>
      </c>
      <c r="AT138" s="22" t="n">
        <v>0</v>
      </c>
      <c r="AU138" s="22" t="n">
        <v>1</v>
      </c>
      <c r="AV138" s="22" t="n">
        <v>0</v>
      </c>
      <c r="AW138" s="22" t="n">
        <v>0</v>
      </c>
      <c r="AX138" s="22" t="n">
        <v>0</v>
      </c>
      <c r="AY138" s="22" t="s">
        <v>138</v>
      </c>
      <c r="AZ138" s="22" t="s">
        <v>698</v>
      </c>
    </row>
    <row r="139" customFormat="false" ht="14.25" hidden="false" customHeight="false" outlineLevel="0" collapsed="false">
      <c r="B139" s="22" t="n">
        <v>179</v>
      </c>
      <c r="C139" s="22" t="s">
        <v>1091</v>
      </c>
      <c r="D139" s="22" t="s">
        <v>16</v>
      </c>
      <c r="E139" s="22" t="s">
        <v>21</v>
      </c>
      <c r="F139" s="22" t="n">
        <v>50000715</v>
      </c>
      <c r="G139" s="22" t="s">
        <v>120</v>
      </c>
      <c r="H139" s="22" t="s">
        <v>121</v>
      </c>
      <c r="I139" s="22" t="s">
        <v>122</v>
      </c>
      <c r="J139" s="22" t="s">
        <v>913</v>
      </c>
      <c r="K139" s="22" t="s">
        <v>912</v>
      </c>
      <c r="L139" s="22" t="s">
        <v>22</v>
      </c>
      <c r="M139" s="22" t="s">
        <v>124</v>
      </c>
      <c r="N139" s="22" t="s">
        <v>1092</v>
      </c>
      <c r="O139" s="22" t="n">
        <v>878</v>
      </c>
      <c r="P139" s="22" t="s">
        <v>1093</v>
      </c>
      <c r="Q139" s="22" t="s">
        <v>127</v>
      </c>
      <c r="R139" s="22" t="s">
        <v>1094</v>
      </c>
      <c r="S139" s="22" t="n">
        <v>515411</v>
      </c>
      <c r="T139" s="22" t="n">
        <v>14.910281</v>
      </c>
      <c r="U139" s="22" t="n">
        <v>78.005924</v>
      </c>
      <c r="V139" s="22" t="s">
        <v>129</v>
      </c>
      <c r="W139" s="22" t="n">
        <v>2016</v>
      </c>
      <c r="X139" s="23" t="n">
        <v>42451</v>
      </c>
      <c r="Y139" s="22" t="n">
        <v>1500</v>
      </c>
      <c r="Z139" s="22" t="n">
        <v>1500</v>
      </c>
      <c r="AA139" s="22" t="s">
        <v>23</v>
      </c>
      <c r="AB139" s="22" t="s">
        <v>916</v>
      </c>
      <c r="AC139" s="22" t="s">
        <v>917</v>
      </c>
      <c r="AD139" s="22" t="s">
        <v>918</v>
      </c>
      <c r="AE139" s="22" t="s">
        <v>1095</v>
      </c>
      <c r="AF139" s="22" t="s">
        <v>1096</v>
      </c>
      <c r="AG139" s="22" t="s">
        <v>1097</v>
      </c>
      <c r="AH139" s="22" t="s">
        <v>473</v>
      </c>
      <c r="AI139" s="22" t="s">
        <v>137</v>
      </c>
      <c r="AJ139" s="22" t="n">
        <v>12</v>
      </c>
      <c r="AK139" s="22" t="n">
        <v>1</v>
      </c>
      <c r="AL139" s="22" t="n">
        <v>2</v>
      </c>
      <c r="AM139" s="22" t="n">
        <f aca="false">AL139+AK139+AJ139</f>
        <v>15</v>
      </c>
      <c r="AN139" s="28" t="n">
        <f aca="false">SUM(AL139:AM139)</f>
        <v>17</v>
      </c>
      <c r="AO139" s="28" t="n">
        <f aca="false">SUM(AM139:AN139)</f>
        <v>32</v>
      </c>
      <c r="AP139" s="22" t="n">
        <f aca="false">AN139+AO139</f>
        <v>49</v>
      </c>
      <c r="AQ139" s="22" t="n">
        <v>1</v>
      </c>
      <c r="AR139" s="22" t="n">
        <v>0</v>
      </c>
      <c r="AS139" s="22" t="n">
        <v>0</v>
      </c>
      <c r="AT139" s="22" t="n">
        <v>0</v>
      </c>
      <c r="AU139" s="22" t="n">
        <v>1</v>
      </c>
      <c r="AV139" s="22" t="n">
        <v>0</v>
      </c>
      <c r="AW139" s="22" t="n">
        <v>0</v>
      </c>
      <c r="AX139" s="22" t="n">
        <v>0</v>
      </c>
      <c r="AY139" s="22" t="s">
        <v>160</v>
      </c>
      <c r="AZ139" s="22" t="s">
        <v>946</v>
      </c>
    </row>
    <row r="140" customFormat="false" ht="14.25" hidden="false" customHeight="false" outlineLevel="0" collapsed="false">
      <c r="B140" s="22" t="n">
        <v>180</v>
      </c>
      <c r="C140" s="22" t="s">
        <v>1098</v>
      </c>
      <c r="D140" s="22" t="s">
        <v>16</v>
      </c>
      <c r="E140" s="22" t="s">
        <v>21</v>
      </c>
      <c r="F140" s="22" t="n">
        <v>50000741</v>
      </c>
      <c r="G140" s="22" t="s">
        <v>120</v>
      </c>
      <c r="H140" s="22" t="s">
        <v>207</v>
      </c>
      <c r="I140" s="22" t="s">
        <v>658</v>
      </c>
      <c r="J140" s="22" t="s">
        <v>922</v>
      </c>
      <c r="K140" s="22" t="s">
        <v>1010</v>
      </c>
      <c r="L140" s="22" t="s">
        <v>22</v>
      </c>
      <c r="M140" s="22" t="s">
        <v>153</v>
      </c>
      <c r="N140" s="22" t="s">
        <v>1099</v>
      </c>
      <c r="O140" s="22" t="n">
        <v>400</v>
      </c>
      <c r="P140" s="22" t="n">
        <v>442</v>
      </c>
      <c r="Q140" s="22" t="s">
        <v>127</v>
      </c>
      <c r="R140" s="22" t="s">
        <v>1100</v>
      </c>
      <c r="S140" s="22" t="n">
        <v>517501</v>
      </c>
      <c r="T140" s="22" t="n">
        <v>13.6225224</v>
      </c>
      <c r="U140" s="22" t="n">
        <v>79.411706</v>
      </c>
      <c r="V140" s="22" t="s">
        <v>129</v>
      </c>
      <c r="W140" s="22" t="n">
        <v>2018</v>
      </c>
      <c r="X140" s="23" t="n">
        <v>43329</v>
      </c>
      <c r="Y140" s="22" t="n">
        <v>2000</v>
      </c>
      <c r="Z140" s="22" t="n">
        <v>2000</v>
      </c>
      <c r="AA140" s="22" t="s">
        <v>23</v>
      </c>
      <c r="AB140" s="22" t="s">
        <v>916</v>
      </c>
      <c r="AC140" s="22" t="s">
        <v>917</v>
      </c>
      <c r="AD140" s="22" t="s">
        <v>918</v>
      </c>
      <c r="AE140" s="22" t="s">
        <v>1101</v>
      </c>
      <c r="AF140" s="22" t="s">
        <v>1102</v>
      </c>
      <c r="AG140" s="22" t="s">
        <v>1103</v>
      </c>
      <c r="AH140" s="22" t="s">
        <v>230</v>
      </c>
      <c r="AI140" s="22" t="s">
        <v>137</v>
      </c>
      <c r="AJ140" s="22" t="n">
        <v>37</v>
      </c>
      <c r="AK140" s="22" t="n">
        <v>3</v>
      </c>
      <c r="AL140" s="22" t="n">
        <v>2</v>
      </c>
      <c r="AM140" s="22" t="n">
        <f aca="false">AL140+AK140+AJ140</f>
        <v>42</v>
      </c>
      <c r="AN140" s="28" t="n">
        <f aca="false">SUM(AL140:AM140)</f>
        <v>44</v>
      </c>
      <c r="AO140" s="28" t="n">
        <f aca="false">SUM(AM140:AN140)</f>
        <v>86</v>
      </c>
      <c r="AP140" s="22" t="n">
        <f aca="false">AN140+AO140</f>
        <v>130</v>
      </c>
      <c r="AQ140" s="22" t="n">
        <v>1</v>
      </c>
      <c r="AR140" s="22" t="n">
        <v>1</v>
      </c>
      <c r="AS140" s="22" t="n">
        <v>0</v>
      </c>
      <c r="AT140" s="22" t="n">
        <v>1</v>
      </c>
      <c r="AU140" s="22" t="n">
        <v>1</v>
      </c>
      <c r="AV140" s="22" t="n">
        <v>0</v>
      </c>
      <c r="AW140" s="22" t="n">
        <v>2</v>
      </c>
      <c r="AX140" s="22" t="n">
        <v>0</v>
      </c>
      <c r="AY140" s="22" t="s">
        <v>160</v>
      </c>
      <c r="AZ140" s="22" t="s">
        <v>928</v>
      </c>
    </row>
    <row r="141" customFormat="false" ht="14.25" hidden="false" customHeight="false" outlineLevel="0" collapsed="false">
      <c r="B141" s="22" t="n">
        <v>181</v>
      </c>
      <c r="C141" s="22" t="s">
        <v>1104</v>
      </c>
      <c r="D141" s="22" t="s">
        <v>16</v>
      </c>
      <c r="E141" s="22" t="s">
        <v>21</v>
      </c>
      <c r="F141" s="22" t="n">
        <v>11200058</v>
      </c>
      <c r="G141" s="22" t="s">
        <v>162</v>
      </c>
      <c r="H141" s="22" t="s">
        <v>163</v>
      </c>
      <c r="I141" s="22" t="s">
        <v>122</v>
      </c>
      <c r="J141" s="22" t="s">
        <v>922</v>
      </c>
      <c r="K141" s="22" t="s">
        <v>1010</v>
      </c>
      <c r="L141" s="22" t="s">
        <v>22</v>
      </c>
      <c r="M141" s="22" t="s">
        <v>153</v>
      </c>
      <c r="N141" s="22" t="s">
        <v>1099</v>
      </c>
      <c r="O141" s="22" t="n">
        <v>400</v>
      </c>
      <c r="P141" s="22" t="s">
        <v>1105</v>
      </c>
      <c r="Q141" s="22" t="s">
        <v>165</v>
      </c>
      <c r="R141" s="22" t="s">
        <v>1100</v>
      </c>
      <c r="S141" s="22" t="n">
        <v>517501</v>
      </c>
      <c r="T141" s="22" t="n">
        <v>13.6225224</v>
      </c>
      <c r="U141" s="22" t="n">
        <v>79.411706</v>
      </c>
      <c r="V141" s="22" t="s">
        <v>129</v>
      </c>
      <c r="W141" s="22" t="n">
        <v>2018</v>
      </c>
      <c r="X141" s="23" t="n">
        <v>43329</v>
      </c>
      <c r="Y141" s="22" t="n">
        <v>2000</v>
      </c>
      <c r="Z141" s="22" t="n">
        <v>2000</v>
      </c>
      <c r="AA141" s="22" t="s">
        <v>23</v>
      </c>
      <c r="AB141" s="22" t="s">
        <v>916</v>
      </c>
      <c r="AC141" s="22" t="s">
        <v>917</v>
      </c>
      <c r="AD141" s="22" t="s">
        <v>918</v>
      </c>
      <c r="AE141" s="22" t="s">
        <v>1101</v>
      </c>
      <c r="AF141" s="22" t="s">
        <v>1102</v>
      </c>
      <c r="AG141" s="22" t="s">
        <v>1103</v>
      </c>
      <c r="AH141" s="22" t="s">
        <v>230</v>
      </c>
      <c r="AI141" s="22" t="s">
        <v>314</v>
      </c>
      <c r="AJ141" s="22" t="n">
        <v>52</v>
      </c>
      <c r="AK141" s="22" t="n">
        <v>0</v>
      </c>
      <c r="AL141" s="22" t="n">
        <v>0</v>
      </c>
      <c r="AM141" s="22" t="n">
        <f aca="false">AL141+AK141+AJ141</f>
        <v>52</v>
      </c>
      <c r="AN141" s="28" t="n">
        <f aca="false">SUM(AL141:AM141)</f>
        <v>52</v>
      </c>
      <c r="AO141" s="28" t="n">
        <f aca="false">SUM(AM141:AN141)</f>
        <v>104</v>
      </c>
      <c r="AP141" s="22" t="n">
        <f aca="false">AN141+AO141</f>
        <v>156</v>
      </c>
      <c r="AQ141" s="22" t="n">
        <v>1</v>
      </c>
      <c r="AR141" s="22" t="n">
        <v>1</v>
      </c>
      <c r="AS141" s="22" t="n">
        <v>0</v>
      </c>
      <c r="AT141" s="22" t="n">
        <v>0</v>
      </c>
      <c r="AU141" s="22" t="n">
        <v>0</v>
      </c>
      <c r="AV141" s="22" t="n">
        <v>1</v>
      </c>
      <c r="AW141" s="22" t="n">
        <v>0</v>
      </c>
      <c r="AX141" s="22" t="n">
        <v>0</v>
      </c>
      <c r="AY141" s="22" t="s">
        <v>160</v>
      </c>
      <c r="AZ141" s="22" t="s">
        <v>656</v>
      </c>
    </row>
    <row r="142" customFormat="false" ht="14.25" hidden="false" customHeight="false" outlineLevel="0" collapsed="false">
      <c r="B142" s="22" t="n">
        <v>182</v>
      </c>
      <c r="C142" s="22" t="s">
        <v>1106</v>
      </c>
      <c r="D142" s="22" t="s">
        <v>16</v>
      </c>
      <c r="E142" s="22" t="s">
        <v>21</v>
      </c>
      <c r="F142" s="22" t="n">
        <v>50005213</v>
      </c>
      <c r="G142" s="22" t="s">
        <v>120</v>
      </c>
      <c r="H142" s="22" t="s">
        <v>141</v>
      </c>
      <c r="I142" s="22" t="s">
        <v>122</v>
      </c>
      <c r="J142" s="22" t="s">
        <v>938</v>
      </c>
      <c r="K142" s="22" t="s">
        <v>1010</v>
      </c>
      <c r="L142" s="22" t="s">
        <v>22</v>
      </c>
      <c r="M142" s="22" t="s">
        <v>124</v>
      </c>
      <c r="N142" s="22" t="s">
        <v>1107</v>
      </c>
      <c r="O142" s="22" t="n">
        <v>12193</v>
      </c>
      <c r="P142" s="22" t="s">
        <v>1108</v>
      </c>
      <c r="Q142" s="22" t="s">
        <v>127</v>
      </c>
      <c r="R142" s="22" t="s">
        <v>1109</v>
      </c>
      <c r="S142" s="22" t="n">
        <v>524132</v>
      </c>
      <c r="T142" s="22" t="n">
        <v>13.946905</v>
      </c>
      <c r="U142" s="22" t="n">
        <v>79.593436</v>
      </c>
      <c r="V142" s="22" t="s">
        <v>129</v>
      </c>
      <c r="W142" s="22" t="n">
        <v>2023</v>
      </c>
      <c r="X142" s="23" t="n">
        <v>45226</v>
      </c>
      <c r="Y142" s="22" t="n">
        <v>1200</v>
      </c>
      <c r="Z142" s="22" t="n">
        <v>1200</v>
      </c>
      <c r="AA142" s="22" t="s">
        <v>23</v>
      </c>
      <c r="AB142" s="22" t="s">
        <v>916</v>
      </c>
      <c r="AC142" s="22" t="s">
        <v>917</v>
      </c>
      <c r="AD142" s="22" t="s">
        <v>918</v>
      </c>
      <c r="AE142" s="22" t="s">
        <v>1110</v>
      </c>
      <c r="AF142" s="22" t="s">
        <v>1111</v>
      </c>
      <c r="AG142" s="22" t="s">
        <v>1112</v>
      </c>
      <c r="AH142" s="22" t="s">
        <v>473</v>
      </c>
      <c r="AI142" s="22" t="s">
        <v>137</v>
      </c>
      <c r="AJ142" s="22" t="n">
        <v>6</v>
      </c>
      <c r="AK142" s="22" t="n">
        <v>2</v>
      </c>
      <c r="AL142" s="22" t="n">
        <v>0</v>
      </c>
      <c r="AM142" s="22" t="n">
        <f aca="false">AL142+AK142+AJ142</f>
        <v>8</v>
      </c>
      <c r="AN142" s="28" t="n">
        <f aca="false">SUM(AL142:AM142)</f>
        <v>8</v>
      </c>
      <c r="AO142" s="28" t="n">
        <f aca="false">SUM(AM142:AN142)</f>
        <v>16</v>
      </c>
      <c r="AP142" s="22" t="n">
        <f aca="false">AN142+AO142</f>
        <v>24</v>
      </c>
      <c r="AQ142" s="22" t="n">
        <v>1</v>
      </c>
      <c r="AR142" s="22" t="n">
        <v>1</v>
      </c>
      <c r="AS142" s="22" t="n">
        <v>0</v>
      </c>
      <c r="AT142" s="22" t="n">
        <v>0</v>
      </c>
      <c r="AU142" s="22" t="n">
        <v>0</v>
      </c>
      <c r="AV142" s="22" t="n">
        <v>1</v>
      </c>
      <c r="AW142" s="22" t="n">
        <v>0</v>
      </c>
      <c r="AX142" s="22" t="n">
        <v>0</v>
      </c>
      <c r="AY142" s="22" t="s">
        <v>997</v>
      </c>
      <c r="AZ142" s="22" t="s">
        <v>774</v>
      </c>
    </row>
    <row r="143" customFormat="false" ht="14.25" hidden="false" customHeight="false" outlineLevel="0" collapsed="false">
      <c r="B143" s="22" t="n">
        <v>183</v>
      </c>
      <c r="C143" s="22" t="s">
        <v>1113</v>
      </c>
      <c r="D143" s="22" t="s">
        <v>16</v>
      </c>
      <c r="E143" s="22" t="s">
        <v>21</v>
      </c>
      <c r="F143" s="22" t="n">
        <v>50000520</v>
      </c>
      <c r="G143" s="22" t="s">
        <v>120</v>
      </c>
      <c r="H143" s="22" t="s">
        <v>207</v>
      </c>
      <c r="I143" s="22" t="s">
        <v>122</v>
      </c>
      <c r="J143" s="22" t="s">
        <v>688</v>
      </c>
      <c r="K143" s="22" t="s">
        <v>688</v>
      </c>
      <c r="L143" s="22" t="s">
        <v>22</v>
      </c>
      <c r="M143" s="22" t="s">
        <v>153</v>
      </c>
      <c r="N143" s="22" t="s">
        <v>1114</v>
      </c>
      <c r="O143" s="22" t="n">
        <v>159</v>
      </c>
      <c r="P143" s="22" t="n">
        <v>564</v>
      </c>
      <c r="Q143" s="22" t="s">
        <v>127</v>
      </c>
      <c r="R143" s="22" t="s">
        <v>1115</v>
      </c>
      <c r="S143" s="22" t="n">
        <v>523001</v>
      </c>
      <c r="T143" s="22" t="n">
        <v>15.5126139850891</v>
      </c>
      <c r="U143" s="22" t="n">
        <v>80.0413026365835</v>
      </c>
      <c r="V143" s="22" t="s">
        <v>129</v>
      </c>
      <c r="W143" s="22" t="n">
        <v>2016</v>
      </c>
      <c r="X143" s="23" t="n">
        <v>43191</v>
      </c>
      <c r="Y143" s="22" t="n">
        <v>2120</v>
      </c>
      <c r="Z143" s="22" t="n">
        <v>2120</v>
      </c>
      <c r="AA143" s="22" t="s">
        <v>23</v>
      </c>
      <c r="AB143" s="22" t="s">
        <v>916</v>
      </c>
      <c r="AC143" s="22" t="s">
        <v>917</v>
      </c>
      <c r="AD143" s="22" t="s">
        <v>918</v>
      </c>
      <c r="AE143" s="22" t="s">
        <v>1116</v>
      </c>
      <c r="AF143" s="22" t="s">
        <v>1117</v>
      </c>
      <c r="AG143" s="22" t="s">
        <v>1118</v>
      </c>
      <c r="AH143" s="22" t="s">
        <v>473</v>
      </c>
      <c r="AI143" s="22" t="s">
        <v>314</v>
      </c>
      <c r="AJ143" s="22" t="n">
        <v>20</v>
      </c>
      <c r="AK143" s="22" t="n">
        <v>2</v>
      </c>
      <c r="AL143" s="22" t="n">
        <v>2</v>
      </c>
      <c r="AM143" s="22" t="n">
        <f aca="false">AL143+AK143+AJ143</f>
        <v>24</v>
      </c>
      <c r="AN143" s="28" t="n">
        <f aca="false">SUM(AL143:AM143)</f>
        <v>26</v>
      </c>
      <c r="AO143" s="28" t="n">
        <f aca="false">SUM(AM143:AN143)</f>
        <v>50</v>
      </c>
      <c r="AP143" s="22" t="n">
        <f aca="false">AN143+AO143</f>
        <v>76</v>
      </c>
      <c r="AQ143" s="22" t="n">
        <v>1</v>
      </c>
      <c r="AR143" s="22" t="n">
        <v>0</v>
      </c>
      <c r="AS143" s="22" t="n">
        <v>1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s">
        <v>160</v>
      </c>
      <c r="AZ143" s="22" t="s">
        <v>928</v>
      </c>
    </row>
    <row r="144" customFormat="false" ht="14.25" hidden="false" customHeight="false" outlineLevel="0" collapsed="false">
      <c r="B144" s="22" t="n">
        <v>184</v>
      </c>
      <c r="C144" s="22" t="s">
        <v>1119</v>
      </c>
      <c r="D144" s="22" t="s">
        <v>16</v>
      </c>
      <c r="E144" s="22" t="s">
        <v>21</v>
      </c>
      <c r="F144" s="22" t="n">
        <v>50008018</v>
      </c>
      <c r="G144" s="22" t="s">
        <v>162</v>
      </c>
      <c r="H144" s="22" t="s">
        <v>163</v>
      </c>
      <c r="I144" s="22" t="s">
        <v>122</v>
      </c>
      <c r="J144" s="22" t="s">
        <v>688</v>
      </c>
      <c r="K144" s="22" t="s">
        <v>688</v>
      </c>
      <c r="L144" s="22" t="s">
        <v>22</v>
      </c>
      <c r="M144" s="22" t="s">
        <v>153</v>
      </c>
      <c r="N144" s="22" t="s">
        <v>1114</v>
      </c>
      <c r="O144" s="22" t="n">
        <v>159</v>
      </c>
      <c r="P144" s="22" t="s">
        <v>1120</v>
      </c>
      <c r="Q144" s="22" t="s">
        <v>165</v>
      </c>
      <c r="R144" s="22" t="s">
        <v>1121</v>
      </c>
      <c r="S144" s="22" t="n">
        <v>523001</v>
      </c>
      <c r="T144" s="22" t="n">
        <v>15.503665</v>
      </c>
      <c r="U144" s="22" t="n">
        <v>80.041428</v>
      </c>
      <c r="V144" s="22" t="s">
        <v>129</v>
      </c>
      <c r="W144" s="22" t="n">
        <v>2025</v>
      </c>
      <c r="X144" s="23" t="n">
        <v>45864</v>
      </c>
      <c r="Y144" s="22" t="n">
        <v>1900</v>
      </c>
      <c r="Z144" s="22" t="n">
        <v>1900</v>
      </c>
      <c r="AA144" s="22" t="s">
        <v>23</v>
      </c>
      <c r="AB144" s="22" t="s">
        <v>916</v>
      </c>
      <c r="AC144" s="22" t="s">
        <v>917</v>
      </c>
      <c r="AD144" s="22" t="s">
        <v>918</v>
      </c>
      <c r="AE144" s="22" t="s">
        <v>1116</v>
      </c>
      <c r="AF144" s="22" t="s">
        <v>1117</v>
      </c>
      <c r="AG144" s="22" t="s">
        <v>1118</v>
      </c>
      <c r="AH144" s="22" t="s">
        <v>473</v>
      </c>
      <c r="AI144" s="22" t="s">
        <v>314</v>
      </c>
      <c r="AJ144" s="22" t="n">
        <v>20</v>
      </c>
      <c r="AK144" s="22" t="n">
        <v>0</v>
      </c>
      <c r="AL144" s="22" t="n">
        <v>0</v>
      </c>
      <c r="AM144" s="22" t="n">
        <f aca="false">AL144+AK144+AJ144</f>
        <v>20</v>
      </c>
      <c r="AN144" s="28" t="n">
        <f aca="false">SUM(AL144:AM144)</f>
        <v>20</v>
      </c>
      <c r="AO144" s="28" t="n">
        <f aca="false">SUM(AM144:AN144)</f>
        <v>40</v>
      </c>
      <c r="AP144" s="22" t="n">
        <f aca="false">AN144+AO144</f>
        <v>60</v>
      </c>
      <c r="AQ144" s="22" t="n">
        <v>1</v>
      </c>
      <c r="AR144" s="22" t="n">
        <v>1</v>
      </c>
      <c r="AS144" s="22" t="n">
        <v>0</v>
      </c>
      <c r="AT144" s="22" t="n">
        <v>0</v>
      </c>
      <c r="AU144" s="22" t="n">
        <v>1</v>
      </c>
      <c r="AV144" s="22" t="n">
        <v>0</v>
      </c>
      <c r="AW144" s="22" t="n">
        <v>0</v>
      </c>
      <c r="AX144" s="22" t="n">
        <v>0</v>
      </c>
      <c r="AY144" s="22" t="s">
        <v>160</v>
      </c>
      <c r="AZ144" s="22" t="s">
        <v>656</v>
      </c>
    </row>
    <row r="145" customFormat="false" ht="14.25" hidden="false" customHeight="false" outlineLevel="0" collapsed="false">
      <c r="B145" s="22" t="n">
        <v>185</v>
      </c>
      <c r="C145" s="22" t="s">
        <v>938</v>
      </c>
      <c r="D145" s="22" t="s">
        <v>16</v>
      </c>
      <c r="E145" s="22" t="s">
        <v>21</v>
      </c>
      <c r="F145" s="22" t="n">
        <v>50000510</v>
      </c>
      <c r="G145" s="22" t="s">
        <v>120</v>
      </c>
      <c r="H145" s="22" t="s">
        <v>207</v>
      </c>
      <c r="I145" s="22" t="s">
        <v>658</v>
      </c>
      <c r="J145" s="22" t="s">
        <v>938</v>
      </c>
      <c r="K145" s="22" t="s">
        <v>939</v>
      </c>
      <c r="L145" s="22" t="s">
        <v>22</v>
      </c>
      <c r="M145" s="22" t="s">
        <v>153</v>
      </c>
      <c r="N145" s="22" t="s">
        <v>1122</v>
      </c>
      <c r="O145" s="22" t="n">
        <v>352</v>
      </c>
      <c r="P145" s="22" t="n">
        <v>468</v>
      </c>
      <c r="Q145" s="22" t="s">
        <v>165</v>
      </c>
      <c r="R145" s="22" t="s">
        <v>1123</v>
      </c>
      <c r="S145" s="22" t="n">
        <v>524003</v>
      </c>
      <c r="T145" s="22" t="n">
        <v>14.4341461</v>
      </c>
      <c r="U145" s="22" t="n">
        <v>79.9786445</v>
      </c>
      <c r="V145" s="22" t="s">
        <v>129</v>
      </c>
      <c r="W145" s="22" t="n">
        <v>2015</v>
      </c>
      <c r="X145" s="23" t="n">
        <v>43101</v>
      </c>
      <c r="Y145" s="22" t="n">
        <v>3300</v>
      </c>
      <c r="Z145" s="22" t="n">
        <v>3300</v>
      </c>
      <c r="AA145" s="22" t="s">
        <v>23</v>
      </c>
      <c r="AB145" s="22" t="s">
        <v>916</v>
      </c>
      <c r="AC145" s="22" t="s">
        <v>917</v>
      </c>
      <c r="AD145" s="22" t="s">
        <v>918</v>
      </c>
      <c r="AE145" s="22" t="s">
        <v>1124</v>
      </c>
      <c r="AF145" s="22" t="s">
        <v>1125</v>
      </c>
      <c r="AG145" s="22" t="s">
        <v>1126</v>
      </c>
      <c r="AH145" s="22" t="s">
        <v>230</v>
      </c>
      <c r="AI145" s="22" t="s">
        <v>314</v>
      </c>
      <c r="AJ145" s="22" t="n">
        <v>56</v>
      </c>
      <c r="AK145" s="22" t="n">
        <v>2</v>
      </c>
      <c r="AL145" s="22" t="n">
        <v>1</v>
      </c>
      <c r="AM145" s="22" t="n">
        <f aca="false">AL145+AK145+AJ145</f>
        <v>59</v>
      </c>
      <c r="AN145" s="28" t="n">
        <f aca="false">SUM(AL145:AM145)</f>
        <v>60</v>
      </c>
      <c r="AO145" s="28" t="n">
        <f aca="false">SUM(AM145:AN145)</f>
        <v>119</v>
      </c>
      <c r="AP145" s="22" t="n">
        <f aca="false">AN145+AO145</f>
        <v>179</v>
      </c>
      <c r="AQ145" s="22" t="n">
        <v>1</v>
      </c>
      <c r="AR145" s="22" t="n">
        <v>1</v>
      </c>
      <c r="AS145" s="22" t="n">
        <v>0</v>
      </c>
      <c r="AT145" s="22" t="n">
        <v>1</v>
      </c>
      <c r="AU145" s="22" t="n">
        <v>1</v>
      </c>
      <c r="AV145" s="22" t="n">
        <v>1</v>
      </c>
      <c r="AW145" s="22" t="n">
        <v>0</v>
      </c>
      <c r="AX145" s="22" t="n">
        <v>0</v>
      </c>
      <c r="AY145" s="22" t="s">
        <v>160</v>
      </c>
      <c r="AZ145" s="22" t="s">
        <v>928</v>
      </c>
    </row>
    <row r="146" customFormat="false" ht="14.25" hidden="false" customHeight="false" outlineLevel="0" collapsed="false">
      <c r="B146" s="22" t="n">
        <v>186</v>
      </c>
      <c r="C146" s="22" t="s">
        <v>1127</v>
      </c>
      <c r="D146" s="22" t="s">
        <v>16</v>
      </c>
      <c r="E146" s="22" t="s">
        <v>21</v>
      </c>
      <c r="F146" s="22" t="n">
        <v>50007174</v>
      </c>
      <c r="G146" s="22" t="s">
        <v>162</v>
      </c>
      <c r="H146" s="22" t="s">
        <v>163</v>
      </c>
      <c r="I146" s="22" t="s">
        <v>122</v>
      </c>
      <c r="J146" s="22" t="s">
        <v>938</v>
      </c>
      <c r="K146" s="22" t="s">
        <v>939</v>
      </c>
      <c r="L146" s="22" t="s">
        <v>22</v>
      </c>
      <c r="M146" s="22" t="s">
        <v>153</v>
      </c>
      <c r="N146" s="22" t="s">
        <v>1122</v>
      </c>
      <c r="O146" s="22" t="n">
        <v>352</v>
      </c>
      <c r="P146" s="22" t="s">
        <v>1128</v>
      </c>
      <c r="Q146" s="22" t="s">
        <v>165</v>
      </c>
      <c r="R146" s="22" t="s">
        <v>1129</v>
      </c>
      <c r="S146" s="22" t="n">
        <v>524003</v>
      </c>
      <c r="T146" s="22" t="n">
        <v>14.449199</v>
      </c>
      <c r="U146" s="22" t="n">
        <v>79.988374</v>
      </c>
      <c r="V146" s="22" t="s">
        <v>129</v>
      </c>
      <c r="W146" s="22" t="n">
        <v>2024</v>
      </c>
      <c r="X146" s="23" t="n">
        <v>45323</v>
      </c>
      <c r="Y146" s="22" t="n">
        <v>1750</v>
      </c>
      <c r="Z146" s="22" t="n">
        <v>1750</v>
      </c>
      <c r="AA146" s="22" t="s">
        <v>23</v>
      </c>
      <c r="AB146" s="22" t="s">
        <v>916</v>
      </c>
      <c r="AC146" s="22" t="s">
        <v>917</v>
      </c>
      <c r="AD146" s="22" t="s">
        <v>918</v>
      </c>
      <c r="AE146" s="22" t="s">
        <v>1124</v>
      </c>
      <c r="AF146" s="22" t="s">
        <v>1125</v>
      </c>
      <c r="AG146" s="22" t="s">
        <v>1126</v>
      </c>
      <c r="AH146" s="22" t="s">
        <v>230</v>
      </c>
      <c r="AI146" s="22" t="s">
        <v>314</v>
      </c>
      <c r="AJ146" s="22" t="n">
        <v>40</v>
      </c>
      <c r="AK146" s="22" t="n">
        <v>1</v>
      </c>
      <c r="AL146" s="22" t="n">
        <v>0</v>
      </c>
      <c r="AM146" s="22" t="n">
        <f aca="false">AL146+AK146+AJ146</f>
        <v>41</v>
      </c>
      <c r="AN146" s="28" t="n">
        <f aca="false">SUM(AL146:AM146)</f>
        <v>41</v>
      </c>
      <c r="AO146" s="28" t="n">
        <f aca="false">SUM(AM146:AN146)</f>
        <v>82</v>
      </c>
      <c r="AP146" s="22" t="n">
        <f aca="false">AN146+AO146</f>
        <v>123</v>
      </c>
      <c r="AQ146" s="22" t="n">
        <v>1</v>
      </c>
      <c r="AR146" s="22" t="n">
        <v>1</v>
      </c>
      <c r="AS146" s="22" t="n">
        <v>0</v>
      </c>
      <c r="AT146" s="22" t="n">
        <v>0</v>
      </c>
      <c r="AU146" s="22" t="n">
        <v>0</v>
      </c>
      <c r="AV146" s="22" t="n">
        <v>0</v>
      </c>
      <c r="AW146" s="22" t="n">
        <v>0</v>
      </c>
      <c r="AX146" s="22" t="n">
        <v>0</v>
      </c>
      <c r="AY146" s="22" t="s">
        <v>160</v>
      </c>
      <c r="AZ146" s="22" t="s">
        <v>656</v>
      </c>
    </row>
    <row r="147" customFormat="false" ht="14.25" hidden="false" customHeight="false" outlineLevel="0" collapsed="false">
      <c r="B147" s="22" t="n">
        <v>187</v>
      </c>
      <c r="C147" s="22" t="s">
        <v>1130</v>
      </c>
      <c r="D147" s="22" t="s">
        <v>16</v>
      </c>
      <c r="E147" s="22" t="s">
        <v>21</v>
      </c>
      <c r="F147" s="22" t="n">
        <v>50000352</v>
      </c>
      <c r="G147" s="22" t="s">
        <v>120</v>
      </c>
      <c r="H147" s="22" t="s">
        <v>121</v>
      </c>
      <c r="I147" s="22" t="s">
        <v>122</v>
      </c>
      <c r="J147" s="22" t="s">
        <v>938</v>
      </c>
      <c r="K147" s="22" t="s">
        <v>939</v>
      </c>
      <c r="L147" s="22" t="s">
        <v>22</v>
      </c>
      <c r="M147" s="22" t="s">
        <v>124</v>
      </c>
      <c r="N147" s="22" t="s">
        <v>1131</v>
      </c>
      <c r="O147" s="22" t="n">
        <v>937</v>
      </c>
      <c r="P147" s="22" t="s">
        <v>1132</v>
      </c>
      <c r="Q147" s="22" t="s">
        <v>127</v>
      </c>
      <c r="R147" s="22" t="s">
        <v>1133</v>
      </c>
      <c r="S147" s="22" t="n">
        <v>524201</v>
      </c>
      <c r="T147" s="22" t="n">
        <v>14.9145284356741</v>
      </c>
      <c r="U147" s="22" t="n">
        <v>79.9930566808801</v>
      </c>
      <c r="V147" s="22" t="s">
        <v>129</v>
      </c>
      <c r="W147" s="22" t="n">
        <v>2016</v>
      </c>
      <c r="X147" s="23" t="n">
        <v>42552</v>
      </c>
      <c r="Y147" s="22" t="n">
        <v>1450</v>
      </c>
      <c r="Z147" s="22" t="n">
        <v>1500</v>
      </c>
      <c r="AA147" s="22" t="s">
        <v>23</v>
      </c>
      <c r="AB147" s="22" t="s">
        <v>916</v>
      </c>
      <c r="AC147" s="22" t="s">
        <v>917</v>
      </c>
      <c r="AD147" s="22" t="s">
        <v>918</v>
      </c>
      <c r="AE147" s="22" t="s">
        <v>1134</v>
      </c>
      <c r="AF147" s="22" t="s">
        <v>1135</v>
      </c>
      <c r="AG147" s="22" t="s">
        <v>1136</v>
      </c>
      <c r="AH147" s="22" t="s">
        <v>473</v>
      </c>
      <c r="AI147" s="22" t="s">
        <v>137</v>
      </c>
      <c r="AJ147" s="22" t="n">
        <v>18</v>
      </c>
      <c r="AK147" s="22" t="n">
        <v>1</v>
      </c>
      <c r="AL147" s="22" t="n">
        <v>2</v>
      </c>
      <c r="AM147" s="22" t="n">
        <f aca="false">AL147+AK147+AJ147</f>
        <v>21</v>
      </c>
      <c r="AN147" s="28" t="n">
        <f aca="false">SUM(AL147:AM147)</f>
        <v>23</v>
      </c>
      <c r="AO147" s="28" t="n">
        <f aca="false">SUM(AM147:AN147)</f>
        <v>44</v>
      </c>
      <c r="AP147" s="22" t="n">
        <f aca="false">AN147+AO147</f>
        <v>67</v>
      </c>
      <c r="AQ147" s="22" t="n">
        <v>1</v>
      </c>
      <c r="AR147" s="22" t="n">
        <v>1</v>
      </c>
      <c r="AS147" s="22" t="n">
        <v>0</v>
      </c>
      <c r="AT147" s="22" t="n">
        <v>0</v>
      </c>
      <c r="AU147" s="22" t="n">
        <v>0</v>
      </c>
      <c r="AV147" s="22" t="n">
        <v>0</v>
      </c>
      <c r="AW147" s="22" t="n">
        <v>0</v>
      </c>
      <c r="AX147" s="22" t="n">
        <v>0</v>
      </c>
      <c r="AY147" s="22" t="s">
        <v>160</v>
      </c>
      <c r="AZ147" s="22" t="s">
        <v>946</v>
      </c>
    </row>
    <row r="148" customFormat="false" ht="14.25" hidden="false" customHeight="false" outlineLevel="0" collapsed="false">
      <c r="B148" s="22" t="n">
        <v>188</v>
      </c>
      <c r="C148" s="22" t="s">
        <v>1137</v>
      </c>
      <c r="D148" s="22" t="s">
        <v>16</v>
      </c>
      <c r="E148" s="22" t="s">
        <v>21</v>
      </c>
      <c r="F148" s="22" t="n">
        <v>50005210</v>
      </c>
      <c r="G148" s="22" t="s">
        <v>120</v>
      </c>
      <c r="H148" s="22" t="s">
        <v>141</v>
      </c>
      <c r="I148" s="22" t="s">
        <v>122</v>
      </c>
      <c r="J148" s="22" t="s">
        <v>688</v>
      </c>
      <c r="K148" s="22" t="s">
        <v>688</v>
      </c>
      <c r="L148" s="22" t="s">
        <v>22</v>
      </c>
      <c r="M148" s="22" t="s">
        <v>124</v>
      </c>
      <c r="N148" s="22" t="s">
        <v>1138</v>
      </c>
      <c r="O148" s="22" t="n">
        <v>12190</v>
      </c>
      <c r="P148" s="22" t="s">
        <v>1139</v>
      </c>
      <c r="Q148" s="22" t="s">
        <v>127</v>
      </c>
      <c r="R148" s="22" t="s">
        <v>1140</v>
      </c>
      <c r="S148" s="22" t="n">
        <v>523105</v>
      </c>
      <c r="T148" s="22" t="n">
        <v>15.214553</v>
      </c>
      <c r="U148" s="22" t="n">
        <v>79.903016</v>
      </c>
      <c r="V148" s="22" t="s">
        <v>129</v>
      </c>
      <c r="W148" s="22" t="n">
        <v>2023</v>
      </c>
      <c r="X148" s="23" t="n">
        <v>45200</v>
      </c>
      <c r="Y148" s="22" t="n">
        <v>950</v>
      </c>
      <c r="Z148" s="22" t="n">
        <v>950</v>
      </c>
      <c r="AA148" s="22" t="s">
        <v>23</v>
      </c>
      <c r="AB148" s="22" t="s">
        <v>916</v>
      </c>
      <c r="AC148" s="22" t="s">
        <v>917</v>
      </c>
      <c r="AD148" s="22" t="s">
        <v>918</v>
      </c>
      <c r="AE148" s="22" t="s">
        <v>1141</v>
      </c>
      <c r="AF148" s="22" t="s">
        <v>1142</v>
      </c>
      <c r="AG148" s="22" t="s">
        <v>1143</v>
      </c>
      <c r="AH148" s="22" t="s">
        <v>473</v>
      </c>
      <c r="AI148" s="22" t="s">
        <v>137</v>
      </c>
      <c r="AJ148" s="22" t="n">
        <v>9</v>
      </c>
      <c r="AK148" s="22" t="n">
        <v>1</v>
      </c>
      <c r="AL148" s="22" t="n">
        <v>0</v>
      </c>
      <c r="AM148" s="22" t="n">
        <f aca="false">AL148+AK148+AJ148</f>
        <v>10</v>
      </c>
      <c r="AN148" s="28" t="n">
        <f aca="false">SUM(AL148:AM148)</f>
        <v>10</v>
      </c>
      <c r="AO148" s="28" t="n">
        <f aca="false">SUM(AM148:AN148)</f>
        <v>20</v>
      </c>
      <c r="AP148" s="22" t="n">
        <f aca="false">AN148+AO148</f>
        <v>30</v>
      </c>
      <c r="AQ148" s="22" t="n">
        <v>1</v>
      </c>
      <c r="AR148" s="22" t="n">
        <v>1</v>
      </c>
      <c r="AS148" s="22" t="n">
        <v>0</v>
      </c>
      <c r="AT148" s="22" t="n">
        <v>0</v>
      </c>
      <c r="AU148" s="22" t="n">
        <v>1</v>
      </c>
      <c r="AV148" s="22" t="n">
        <v>0</v>
      </c>
      <c r="AW148" s="22" t="n">
        <v>0</v>
      </c>
      <c r="AX148" s="22" t="n">
        <v>0</v>
      </c>
      <c r="AY148" s="22" t="s">
        <v>138</v>
      </c>
      <c r="AZ148" s="22" t="s">
        <v>774</v>
      </c>
    </row>
    <row r="149" customFormat="false" ht="14.25" hidden="false" customHeight="false" outlineLevel="0" collapsed="false">
      <c r="B149" s="22" t="n">
        <v>189</v>
      </c>
      <c r="C149" s="22" t="s">
        <v>1144</v>
      </c>
      <c r="D149" s="22" t="s">
        <v>16</v>
      </c>
      <c r="E149" s="22" t="s">
        <v>21</v>
      </c>
      <c r="F149" s="22" t="n">
        <v>50000724</v>
      </c>
      <c r="G149" s="22" t="s">
        <v>120</v>
      </c>
      <c r="H149" s="22" t="s">
        <v>152</v>
      </c>
      <c r="I149" s="22" t="s">
        <v>122</v>
      </c>
      <c r="J149" s="22" t="s">
        <v>717</v>
      </c>
      <c r="K149" s="22" t="s">
        <v>717</v>
      </c>
      <c r="L149" s="22" t="s">
        <v>22</v>
      </c>
      <c r="M149" s="22" t="s">
        <v>153</v>
      </c>
      <c r="N149" s="22" t="s">
        <v>1145</v>
      </c>
      <c r="O149" s="22" t="n">
        <v>674</v>
      </c>
      <c r="P149" s="22" t="s">
        <v>1146</v>
      </c>
      <c r="Q149" s="22" t="s">
        <v>127</v>
      </c>
      <c r="R149" s="22" t="s">
        <v>1147</v>
      </c>
      <c r="S149" s="22" t="n">
        <v>522201</v>
      </c>
      <c r="T149" s="22" t="n">
        <v>16.235235</v>
      </c>
      <c r="U149" s="22" t="n">
        <v>80.652207</v>
      </c>
      <c r="V149" s="22" t="s">
        <v>129</v>
      </c>
      <c r="W149" s="22" t="n">
        <v>2018</v>
      </c>
      <c r="X149" s="23" t="n">
        <v>43433</v>
      </c>
      <c r="Y149" s="22" t="n">
        <v>1600</v>
      </c>
      <c r="Z149" s="22" t="n">
        <v>1600</v>
      </c>
      <c r="AA149" s="22" t="s">
        <v>23</v>
      </c>
      <c r="AB149" s="22" t="s">
        <v>692</v>
      </c>
      <c r="AC149" s="22" t="s">
        <v>693</v>
      </c>
      <c r="AD149" s="22" t="s">
        <v>694</v>
      </c>
      <c r="AE149" s="22" t="s">
        <v>1148</v>
      </c>
      <c r="AF149" s="22" t="s">
        <v>1149</v>
      </c>
      <c r="AG149" s="22" t="s">
        <v>1150</v>
      </c>
      <c r="AH149" s="22" t="s">
        <v>473</v>
      </c>
      <c r="AI149" s="22" t="s">
        <v>137</v>
      </c>
      <c r="AJ149" s="22" t="n">
        <v>18</v>
      </c>
      <c r="AK149" s="22" t="n">
        <v>2</v>
      </c>
      <c r="AL149" s="22" t="n">
        <v>2</v>
      </c>
      <c r="AM149" s="22" t="n">
        <f aca="false">AL149+AK149+AJ149</f>
        <v>22</v>
      </c>
      <c r="AN149" s="28" t="n">
        <v>25</v>
      </c>
      <c r="AO149" s="28" t="n">
        <v>6</v>
      </c>
      <c r="AP149" s="22" t="n">
        <f aca="false">AN149+AO149</f>
        <v>31</v>
      </c>
      <c r="AQ149" s="22" t="n">
        <v>1</v>
      </c>
      <c r="AR149" s="22" t="n">
        <v>0</v>
      </c>
      <c r="AS149" s="22" t="n">
        <v>0</v>
      </c>
      <c r="AT149" s="22" t="n">
        <v>0</v>
      </c>
      <c r="AU149" s="22" t="n">
        <v>1</v>
      </c>
      <c r="AV149" s="22" t="n">
        <v>0</v>
      </c>
      <c r="AW149" s="22" t="n">
        <v>0</v>
      </c>
      <c r="AX149" s="22" t="n">
        <v>0</v>
      </c>
      <c r="AY149" s="22" t="s">
        <v>160</v>
      </c>
      <c r="AZ149" s="22" t="s">
        <v>139</v>
      </c>
    </row>
    <row r="150" customFormat="false" ht="14.25" hidden="false" customHeight="false" outlineLevel="0" collapsed="false">
      <c r="B150" s="22" t="n">
        <v>1</v>
      </c>
      <c r="C150" s="22" t="s">
        <v>1151</v>
      </c>
      <c r="D150" s="22" t="s">
        <v>16</v>
      </c>
      <c r="E150" s="22" t="s">
        <v>21</v>
      </c>
      <c r="F150" s="22" t="n">
        <v>50001377</v>
      </c>
      <c r="G150" s="22" t="s">
        <v>120</v>
      </c>
      <c r="H150" s="22" t="s">
        <v>121</v>
      </c>
      <c r="I150" s="22" t="s">
        <v>122</v>
      </c>
      <c r="J150" s="22" t="s">
        <v>1151</v>
      </c>
      <c r="K150" s="22" t="s">
        <v>1151</v>
      </c>
      <c r="L150" s="22" t="s">
        <v>36</v>
      </c>
      <c r="M150" s="22" t="s">
        <v>124</v>
      </c>
      <c r="N150" s="22" t="s">
        <v>1152</v>
      </c>
      <c r="O150" s="22" t="n">
        <v>6973</v>
      </c>
      <c r="P150" s="22" t="s">
        <v>1153</v>
      </c>
      <c r="Q150" s="22" t="s">
        <v>127</v>
      </c>
      <c r="R150" s="22" t="s">
        <v>1154</v>
      </c>
      <c r="S150" s="22" t="n">
        <v>491226</v>
      </c>
      <c r="T150" s="22" t="n">
        <v>20.72364</v>
      </c>
      <c r="U150" s="22" t="n">
        <v>81.208954</v>
      </c>
      <c r="V150" s="22" t="s">
        <v>129</v>
      </c>
      <c r="W150" s="22" t="n">
        <v>2018</v>
      </c>
      <c r="X150" s="22" t="n">
        <v>43405</v>
      </c>
      <c r="Y150" s="22" t="n">
        <v>1527</v>
      </c>
      <c r="Z150" s="22" t="n">
        <v>1527</v>
      </c>
      <c r="AA150" s="22" t="s">
        <v>23</v>
      </c>
      <c r="AB150" s="22" t="s">
        <v>1155</v>
      </c>
      <c r="AC150" s="22" t="s">
        <v>1156</v>
      </c>
      <c r="AD150" s="22" t="s">
        <v>1157</v>
      </c>
      <c r="AE150" s="22" t="s">
        <v>1158</v>
      </c>
      <c r="AF150" s="22" t="s">
        <v>1159</v>
      </c>
      <c r="AG150" s="22" t="s">
        <v>1160</v>
      </c>
      <c r="AH150" s="22" t="s">
        <v>136</v>
      </c>
      <c r="AI150" s="22" t="s">
        <v>137</v>
      </c>
      <c r="AJ150" s="22" t="n">
        <v>12</v>
      </c>
      <c r="AK150" s="22" t="n">
        <v>2</v>
      </c>
      <c r="AL150" s="22" t="n">
        <v>2</v>
      </c>
      <c r="AM150" s="22" t="n">
        <f aca="false">AL150+AK150+AJ150</f>
        <v>16</v>
      </c>
      <c r="AN150" s="22" t="n">
        <v>7</v>
      </c>
      <c r="AO150" s="22" t="n">
        <v>2</v>
      </c>
      <c r="AP150" s="22" t="n">
        <f aca="false">AN150+AO150</f>
        <v>9</v>
      </c>
      <c r="AQ150" s="22" t="n">
        <v>0</v>
      </c>
      <c r="AR150" s="22" t="n">
        <v>0</v>
      </c>
      <c r="AS150" s="22" t="n">
        <v>1</v>
      </c>
      <c r="AT150" s="22" t="n">
        <v>0</v>
      </c>
      <c r="AU150" s="22" t="n">
        <v>1</v>
      </c>
      <c r="AV150" s="22" t="n">
        <v>0</v>
      </c>
      <c r="AW150" s="22" t="n">
        <v>0</v>
      </c>
      <c r="AX150" s="22" t="n">
        <v>0</v>
      </c>
      <c r="AY150" s="22" t="s">
        <v>138</v>
      </c>
      <c r="AZ150" s="22" t="s">
        <v>139</v>
      </c>
    </row>
    <row r="151" customFormat="false" ht="14.25" hidden="false" customHeight="false" outlineLevel="0" collapsed="false">
      <c r="B151" s="22" t="n">
        <f aca="false">B150+1</f>
        <v>2</v>
      </c>
      <c r="C151" s="22" t="s">
        <v>1161</v>
      </c>
      <c r="D151" s="22" t="s">
        <v>16</v>
      </c>
      <c r="E151" s="22" t="s">
        <v>21</v>
      </c>
      <c r="F151" s="22" t="n">
        <v>50001024</v>
      </c>
      <c r="G151" s="22" t="s">
        <v>120</v>
      </c>
      <c r="H151" s="22" t="s">
        <v>121</v>
      </c>
      <c r="I151" s="22" t="s">
        <v>122</v>
      </c>
      <c r="J151" s="22" t="s">
        <v>1162</v>
      </c>
      <c r="K151" s="22" t="s">
        <v>1162</v>
      </c>
      <c r="L151" s="22" t="s">
        <v>36</v>
      </c>
      <c r="M151" s="22" t="s">
        <v>124</v>
      </c>
      <c r="N151" s="22" t="s">
        <v>1163</v>
      </c>
      <c r="O151" s="22" t="n">
        <v>4309</v>
      </c>
      <c r="P151" s="22" t="s">
        <v>1164</v>
      </c>
      <c r="Q151" s="22" t="s">
        <v>127</v>
      </c>
      <c r="R151" s="22" t="s">
        <v>1165</v>
      </c>
      <c r="S151" s="22" t="n">
        <v>493118</v>
      </c>
      <c r="T151" s="22" t="n">
        <v>21.735762</v>
      </c>
      <c r="U151" s="22" t="n">
        <v>81.942805</v>
      </c>
      <c r="V151" s="22" t="s">
        <v>129</v>
      </c>
      <c r="W151" s="22" t="n">
        <v>2017</v>
      </c>
      <c r="X151" s="22" t="n">
        <v>43013</v>
      </c>
      <c r="Y151" s="22" t="n">
        <v>1300</v>
      </c>
      <c r="Z151" s="22" t="n">
        <v>1300</v>
      </c>
      <c r="AA151" s="22" t="s">
        <v>23</v>
      </c>
      <c r="AB151" s="22" t="s">
        <v>1155</v>
      </c>
      <c r="AC151" s="22" t="s">
        <v>1156</v>
      </c>
      <c r="AD151" s="22" t="s">
        <v>1157</v>
      </c>
      <c r="AE151" s="22" t="s">
        <v>1166</v>
      </c>
      <c r="AF151" s="22" t="s">
        <v>1167</v>
      </c>
      <c r="AG151" s="22" t="s">
        <v>1168</v>
      </c>
      <c r="AH151" s="22" t="s">
        <v>136</v>
      </c>
      <c r="AI151" s="22" t="s">
        <v>137</v>
      </c>
      <c r="AJ151" s="22" t="n">
        <v>20</v>
      </c>
      <c r="AK151" s="22" t="n">
        <v>1</v>
      </c>
      <c r="AL151" s="22" t="n">
        <v>2</v>
      </c>
      <c r="AM151" s="22" t="n">
        <f aca="false">AL151+AK151+AJ151</f>
        <v>23</v>
      </c>
      <c r="AN151" s="22" t="n">
        <v>13</v>
      </c>
      <c r="AO151" s="22" t="n">
        <v>4</v>
      </c>
      <c r="AP151" s="22" t="n">
        <f aca="false">AN151+AO151</f>
        <v>17</v>
      </c>
      <c r="AQ151" s="22" t="n">
        <v>0</v>
      </c>
      <c r="AR151" s="22" t="n">
        <v>0</v>
      </c>
      <c r="AS151" s="22" t="n">
        <v>1</v>
      </c>
      <c r="AT151" s="22" t="n">
        <v>0</v>
      </c>
      <c r="AU151" s="22" t="n">
        <v>1</v>
      </c>
      <c r="AV151" s="22" t="n">
        <v>0</v>
      </c>
      <c r="AW151" s="22" t="n">
        <v>0</v>
      </c>
      <c r="AX151" s="22" t="n">
        <v>0</v>
      </c>
      <c r="AY151" s="22" t="s">
        <v>138</v>
      </c>
      <c r="AZ151" s="22" t="s">
        <v>1169</v>
      </c>
    </row>
    <row r="152" customFormat="false" ht="14.25" hidden="false" customHeight="false" outlineLevel="0" collapsed="false">
      <c r="B152" s="22" t="n">
        <f aca="false">B151+1</f>
        <v>3</v>
      </c>
      <c r="C152" s="22" t="s">
        <v>1170</v>
      </c>
      <c r="D152" s="22" t="s">
        <v>16</v>
      </c>
      <c r="E152" s="22" t="s">
        <v>21</v>
      </c>
      <c r="F152" s="22" t="n">
        <v>50000096</v>
      </c>
      <c r="G152" s="22" t="s">
        <v>120</v>
      </c>
      <c r="H152" s="22" t="s">
        <v>207</v>
      </c>
      <c r="I152" s="22" t="s">
        <v>122</v>
      </c>
      <c r="J152" s="22" t="s">
        <v>1171</v>
      </c>
      <c r="K152" s="22" t="s">
        <v>1171</v>
      </c>
      <c r="L152" s="22" t="s">
        <v>36</v>
      </c>
      <c r="M152" s="22" t="s">
        <v>153</v>
      </c>
      <c r="N152" s="22" t="s">
        <v>1172</v>
      </c>
      <c r="O152" s="22" t="n">
        <v>395</v>
      </c>
      <c r="P152" s="22" t="n">
        <v>437</v>
      </c>
      <c r="Q152" s="22" t="s">
        <v>165</v>
      </c>
      <c r="R152" s="22" t="s">
        <v>1173</v>
      </c>
      <c r="S152" s="22" t="n">
        <v>490023</v>
      </c>
      <c r="T152" s="22" t="n">
        <v>21.209066</v>
      </c>
      <c r="U152" s="22" t="n">
        <v>81.357777</v>
      </c>
      <c r="V152" s="22" t="s">
        <v>129</v>
      </c>
      <c r="W152" s="22" t="n">
        <v>2009</v>
      </c>
      <c r="X152" s="22" t="n">
        <v>43169</v>
      </c>
      <c r="Y152" s="22" t="n">
        <v>2382</v>
      </c>
      <c r="Z152" s="22" t="n">
        <v>3176</v>
      </c>
      <c r="AA152" s="22" t="s">
        <v>23</v>
      </c>
      <c r="AB152" s="22" t="s">
        <v>1155</v>
      </c>
      <c r="AC152" s="22" t="s">
        <v>1156</v>
      </c>
      <c r="AD152" s="22" t="s">
        <v>1157</v>
      </c>
      <c r="AE152" s="22" t="s">
        <v>1155</v>
      </c>
      <c r="AF152" s="22" t="s">
        <v>1156</v>
      </c>
      <c r="AG152" s="22" t="s">
        <v>1157</v>
      </c>
      <c r="AH152" s="22" t="s">
        <v>397</v>
      </c>
      <c r="AI152" s="22" t="s">
        <v>137</v>
      </c>
      <c r="AJ152" s="22" t="n">
        <v>17</v>
      </c>
      <c r="AK152" s="22" t="n">
        <v>2</v>
      </c>
      <c r="AL152" s="22" t="n">
        <v>3</v>
      </c>
      <c r="AM152" s="22" t="n">
        <f aca="false">AL152+AK152+AJ152</f>
        <v>22</v>
      </c>
      <c r="AN152" s="22" t="n">
        <v>34</v>
      </c>
      <c r="AO152" s="22" t="n">
        <v>4</v>
      </c>
      <c r="AP152" s="22" t="n">
        <f aca="false">AN152+AO152</f>
        <v>38</v>
      </c>
      <c r="AQ152" s="22" t="n">
        <v>1</v>
      </c>
      <c r="AR152" s="22" t="n">
        <v>1</v>
      </c>
      <c r="AS152" s="22" t="n">
        <v>0</v>
      </c>
      <c r="AT152" s="22" t="n">
        <v>0</v>
      </c>
      <c r="AU152" s="22" t="n">
        <v>1</v>
      </c>
      <c r="AV152" s="22" t="n">
        <v>0</v>
      </c>
      <c r="AW152" s="22" t="n">
        <v>1</v>
      </c>
      <c r="AX152" s="22" t="n">
        <v>0</v>
      </c>
      <c r="AY152" s="22" t="s">
        <v>160</v>
      </c>
      <c r="AZ152" s="22" t="s">
        <v>139</v>
      </c>
    </row>
    <row r="153" customFormat="false" ht="14.25" hidden="false" customHeight="false" outlineLevel="0" collapsed="false">
      <c r="B153" s="22" t="n">
        <f aca="false">B152+1</f>
        <v>4</v>
      </c>
      <c r="C153" s="22" t="s">
        <v>1174</v>
      </c>
      <c r="D153" s="22" t="s">
        <v>16</v>
      </c>
      <c r="E153" s="22" t="s">
        <v>21</v>
      </c>
      <c r="F153" s="22" t="n">
        <v>50000096</v>
      </c>
      <c r="G153" s="22" t="s">
        <v>120</v>
      </c>
      <c r="H153" s="22" t="s">
        <v>207</v>
      </c>
      <c r="I153" s="22" t="s">
        <v>122</v>
      </c>
      <c r="J153" s="22" t="s">
        <v>1171</v>
      </c>
      <c r="K153" s="22" t="s">
        <v>1171</v>
      </c>
      <c r="L153" s="22" t="s">
        <v>36</v>
      </c>
      <c r="M153" s="22" t="s">
        <v>153</v>
      </c>
      <c r="N153" s="22" t="s">
        <v>1172</v>
      </c>
      <c r="O153" s="22" t="n">
        <v>395</v>
      </c>
      <c r="P153" s="22" t="n">
        <v>437</v>
      </c>
      <c r="Q153" s="22" t="s">
        <v>165</v>
      </c>
      <c r="R153" s="22" t="s">
        <v>1173</v>
      </c>
      <c r="S153" s="22" t="n">
        <v>490023</v>
      </c>
      <c r="T153" s="22" t="n">
        <v>21.209066</v>
      </c>
      <c r="U153" s="22" t="n">
        <v>81.357777</v>
      </c>
      <c r="V153" s="22" t="s">
        <v>129</v>
      </c>
      <c r="W153" s="22" t="n">
        <v>2009</v>
      </c>
      <c r="X153" s="22" t="n">
        <v>44752</v>
      </c>
      <c r="Y153" s="22" t="n">
        <v>1338</v>
      </c>
      <c r="Z153" s="22" t="n">
        <v>1417</v>
      </c>
      <c r="AA153" s="22" t="s">
        <v>23</v>
      </c>
      <c r="AB153" s="22" t="s">
        <v>1155</v>
      </c>
      <c r="AC153" s="22" t="s">
        <v>1156</v>
      </c>
      <c r="AD153" s="22" t="s">
        <v>1157</v>
      </c>
      <c r="AE153" s="22" t="s">
        <v>1155</v>
      </c>
      <c r="AF153" s="22" t="s">
        <v>1156</v>
      </c>
      <c r="AG153" s="22" t="s">
        <v>1157</v>
      </c>
      <c r="AH153" s="22" t="s">
        <v>397</v>
      </c>
      <c r="AI153" s="22" t="s">
        <v>314</v>
      </c>
      <c r="AJ153" s="22" t="n">
        <v>41</v>
      </c>
      <c r="AK153" s="22" t="n">
        <v>0</v>
      </c>
      <c r="AL153" s="22" t="n">
        <v>0</v>
      </c>
      <c r="AM153" s="22" t="n">
        <f aca="false">AL153+AK153+AJ153</f>
        <v>41</v>
      </c>
      <c r="AN153" s="22" t="n">
        <v>37</v>
      </c>
      <c r="AO153" s="22" t="n">
        <v>36</v>
      </c>
      <c r="AP153" s="22" t="n">
        <f aca="false">AN153+AO153</f>
        <v>73</v>
      </c>
      <c r="AQ153" s="22" t="n">
        <v>1</v>
      </c>
      <c r="AR153" s="22" t="n">
        <v>0</v>
      </c>
      <c r="AS153" s="22" t="n">
        <v>0</v>
      </c>
      <c r="AT153" s="22" t="n">
        <v>0</v>
      </c>
      <c r="AU153" s="22" t="n">
        <v>1</v>
      </c>
      <c r="AV153" s="22" t="n">
        <v>1</v>
      </c>
      <c r="AW153" s="22" t="n">
        <v>0</v>
      </c>
      <c r="AX153" s="22" t="n">
        <v>0</v>
      </c>
      <c r="AY153" s="22" t="s">
        <v>160</v>
      </c>
      <c r="AZ153" s="22" t="s">
        <v>139</v>
      </c>
    </row>
    <row r="154" customFormat="false" ht="14.25" hidden="false" customHeight="false" outlineLevel="0" collapsed="false">
      <c r="B154" s="22" t="n">
        <f aca="false">B153+1</f>
        <v>5</v>
      </c>
      <c r="C154" s="22" t="s">
        <v>1175</v>
      </c>
      <c r="D154" s="22" t="s">
        <v>16</v>
      </c>
      <c r="E154" s="22" t="s">
        <v>21</v>
      </c>
      <c r="F154" s="22" t="n">
        <v>50005170</v>
      </c>
      <c r="G154" s="22" t="s">
        <v>120</v>
      </c>
      <c r="H154" s="22" t="s">
        <v>121</v>
      </c>
      <c r="I154" s="22" t="s">
        <v>122</v>
      </c>
      <c r="J154" s="22" t="s">
        <v>1176</v>
      </c>
      <c r="K154" s="22" t="s">
        <v>1177</v>
      </c>
      <c r="L154" s="22" t="s">
        <v>36</v>
      </c>
      <c r="M154" s="22" t="s">
        <v>124</v>
      </c>
      <c r="N154" s="22" t="s">
        <v>1178</v>
      </c>
      <c r="O154" s="22" t="n">
        <v>12137</v>
      </c>
      <c r="P154" s="22" t="s">
        <v>1179</v>
      </c>
      <c r="Q154" s="22" t="s">
        <v>127</v>
      </c>
      <c r="R154" s="22" t="s">
        <v>1180</v>
      </c>
      <c r="S154" s="22" t="n">
        <v>494444</v>
      </c>
      <c r="T154" s="22" t="n">
        <v>18.788622</v>
      </c>
      <c r="U154" s="22" t="n">
        <v>80.81647</v>
      </c>
      <c r="V154" s="22" t="s">
        <v>129</v>
      </c>
      <c r="W154" s="22" t="n">
        <v>2023</v>
      </c>
      <c r="X154" s="22" t="n">
        <v>45204</v>
      </c>
      <c r="Y154" s="22" t="n">
        <v>622</v>
      </c>
      <c r="Z154" s="22" t="n">
        <v>622</v>
      </c>
      <c r="AA154" s="22" t="s">
        <v>23</v>
      </c>
      <c r="AB154" s="22" t="s">
        <v>1155</v>
      </c>
      <c r="AC154" s="22" t="s">
        <v>1156</v>
      </c>
      <c r="AD154" s="22" t="s">
        <v>1157</v>
      </c>
      <c r="AE154" s="22" t="s">
        <v>1181</v>
      </c>
      <c r="AF154" s="22" t="s">
        <v>1182</v>
      </c>
      <c r="AG154" s="22" t="s">
        <v>1183</v>
      </c>
      <c r="AH154" s="22" t="s">
        <v>136</v>
      </c>
      <c r="AI154" s="22" t="s">
        <v>137</v>
      </c>
      <c r="AJ154" s="22" t="n">
        <v>12</v>
      </c>
      <c r="AK154" s="22" t="n">
        <v>1</v>
      </c>
      <c r="AL154" s="22" t="n">
        <v>0</v>
      </c>
      <c r="AM154" s="22" t="n">
        <f aca="false">AL154+AK154+AJ154</f>
        <v>13</v>
      </c>
      <c r="AN154" s="22" t="n">
        <v>3</v>
      </c>
      <c r="AO154" s="22" t="n">
        <v>2</v>
      </c>
      <c r="AP154" s="22" t="n">
        <f aca="false">AN154+AO154</f>
        <v>5</v>
      </c>
      <c r="AQ154" s="22" t="n">
        <v>1</v>
      </c>
      <c r="AR154" s="22" t="n">
        <v>1</v>
      </c>
      <c r="AS154" s="22" t="n">
        <v>0</v>
      </c>
      <c r="AT154" s="22" t="n">
        <v>0</v>
      </c>
      <c r="AU154" s="22" t="n">
        <v>1</v>
      </c>
      <c r="AV154" s="22" t="n">
        <v>0</v>
      </c>
      <c r="AW154" s="22" t="n">
        <v>0</v>
      </c>
      <c r="AX154" s="22" t="n">
        <v>0</v>
      </c>
      <c r="AY154" s="22" t="s">
        <v>138</v>
      </c>
      <c r="AZ154" s="22" t="s">
        <v>139</v>
      </c>
    </row>
    <row r="155" customFormat="false" ht="14.25" hidden="false" customHeight="false" outlineLevel="0" collapsed="false">
      <c r="B155" s="22" t="n">
        <f aca="false">B154+1</f>
        <v>6</v>
      </c>
      <c r="C155" s="22" t="s">
        <v>1184</v>
      </c>
      <c r="D155" s="22" t="s">
        <v>16</v>
      </c>
      <c r="E155" s="22" t="s">
        <v>21</v>
      </c>
      <c r="F155" s="22" t="n">
        <v>50005171</v>
      </c>
      <c r="G155" s="22" t="s">
        <v>120</v>
      </c>
      <c r="H155" s="22" t="s">
        <v>121</v>
      </c>
      <c r="I155" s="22" t="s">
        <v>122</v>
      </c>
      <c r="J155" s="22" t="s">
        <v>1185</v>
      </c>
      <c r="K155" s="22" t="s">
        <v>1186</v>
      </c>
      <c r="L155" s="22" t="s">
        <v>36</v>
      </c>
      <c r="M155" s="22" t="s">
        <v>124</v>
      </c>
      <c r="N155" s="22" t="s">
        <v>1187</v>
      </c>
      <c r="O155" s="22" t="n">
        <v>12138</v>
      </c>
      <c r="P155" s="22" t="s">
        <v>1188</v>
      </c>
      <c r="Q155" s="22" t="s">
        <v>146</v>
      </c>
      <c r="R155" s="22" t="s">
        <v>1189</v>
      </c>
      <c r="S155" s="22" t="n">
        <v>493890</v>
      </c>
      <c r="T155" s="22" t="n">
        <v>19.894928</v>
      </c>
      <c r="U155" s="22" t="n">
        <v>82.662626</v>
      </c>
      <c r="V155" s="22" t="s">
        <v>129</v>
      </c>
      <c r="W155" s="22" t="n">
        <v>2023</v>
      </c>
      <c r="X155" s="22" t="n">
        <v>45204</v>
      </c>
      <c r="Y155" s="22" t="n">
        <v>700</v>
      </c>
      <c r="Z155" s="22" t="n">
        <v>800</v>
      </c>
      <c r="AA155" s="22" t="s">
        <v>23</v>
      </c>
      <c r="AB155" s="22" t="s">
        <v>1155</v>
      </c>
      <c r="AC155" s="22" t="s">
        <v>1156</v>
      </c>
      <c r="AD155" s="22" t="s">
        <v>1157</v>
      </c>
      <c r="AE155" s="22" t="s">
        <v>1190</v>
      </c>
      <c r="AF155" s="22" t="s">
        <v>1191</v>
      </c>
      <c r="AG155" s="22" t="s">
        <v>1192</v>
      </c>
      <c r="AH155" s="22" t="s">
        <v>136</v>
      </c>
      <c r="AI155" s="22" t="s">
        <v>137</v>
      </c>
      <c r="AJ155" s="22" t="n">
        <v>12</v>
      </c>
      <c r="AK155" s="22" t="n">
        <v>1</v>
      </c>
      <c r="AL155" s="22" t="n">
        <v>0</v>
      </c>
      <c r="AM155" s="22" t="n">
        <f aca="false">AL155+AK155+AJ155</f>
        <v>13</v>
      </c>
      <c r="AN155" s="22" t="n">
        <v>2</v>
      </c>
      <c r="AO155" s="22" t="n">
        <v>1</v>
      </c>
      <c r="AP155" s="22" t="n">
        <f aca="false">AN155+AO155</f>
        <v>3</v>
      </c>
      <c r="AQ155" s="22" t="n">
        <v>1</v>
      </c>
      <c r="AR155" s="22" t="n">
        <v>1</v>
      </c>
      <c r="AS155" s="22" t="n">
        <v>0</v>
      </c>
      <c r="AT155" s="22" t="n">
        <v>0</v>
      </c>
      <c r="AU155" s="22" t="n">
        <v>1</v>
      </c>
      <c r="AV155" s="22" t="n">
        <v>0</v>
      </c>
      <c r="AW155" s="22" t="n">
        <v>0</v>
      </c>
      <c r="AX155" s="22" t="n">
        <v>0</v>
      </c>
      <c r="AY155" s="22" t="s">
        <v>138</v>
      </c>
      <c r="AZ155" s="22" t="s">
        <v>139</v>
      </c>
    </row>
    <row r="156" customFormat="false" ht="14.25" hidden="false" customHeight="false" outlineLevel="0" collapsed="false">
      <c r="B156" s="22" t="n">
        <f aca="false">B155+1</f>
        <v>7</v>
      </c>
      <c r="C156" s="22" t="s">
        <v>1193</v>
      </c>
      <c r="D156" s="22" t="s">
        <v>16</v>
      </c>
      <c r="E156" s="22" t="s">
        <v>21</v>
      </c>
      <c r="F156" s="22" t="n">
        <v>50000821</v>
      </c>
      <c r="G156" s="22" t="s">
        <v>120</v>
      </c>
      <c r="H156" s="22" t="s">
        <v>121</v>
      </c>
      <c r="I156" s="22" t="s">
        <v>122</v>
      </c>
      <c r="J156" s="22" t="s">
        <v>1193</v>
      </c>
      <c r="K156" s="22" t="s">
        <v>1193</v>
      </c>
      <c r="L156" s="22" t="s">
        <v>36</v>
      </c>
      <c r="M156" s="22" t="s">
        <v>124</v>
      </c>
      <c r="N156" s="22" t="s">
        <v>1194</v>
      </c>
      <c r="O156" s="22" t="n">
        <v>1703</v>
      </c>
      <c r="P156" s="22" t="s">
        <v>1195</v>
      </c>
      <c r="Q156" s="22" t="s">
        <v>127</v>
      </c>
      <c r="R156" s="22" t="s">
        <v>1196</v>
      </c>
      <c r="S156" s="22" t="n">
        <v>493773</v>
      </c>
      <c r="T156" s="22" t="n">
        <v>20.704229</v>
      </c>
      <c r="U156" s="22" t="n">
        <v>81.53941</v>
      </c>
      <c r="V156" s="22" t="s">
        <v>129</v>
      </c>
      <c r="W156" s="22" t="n">
        <v>2017</v>
      </c>
      <c r="X156" s="22" t="n">
        <v>42736</v>
      </c>
      <c r="Y156" s="22" t="n">
        <v>1100</v>
      </c>
      <c r="Z156" s="22" t="n">
        <v>1100</v>
      </c>
      <c r="AA156" s="22" t="s">
        <v>23</v>
      </c>
      <c r="AB156" s="22" t="s">
        <v>1155</v>
      </c>
      <c r="AC156" s="22" t="s">
        <v>1156</v>
      </c>
      <c r="AD156" s="22" t="s">
        <v>1157</v>
      </c>
      <c r="AE156" s="22" t="s">
        <v>1197</v>
      </c>
      <c r="AF156" s="22" t="s">
        <v>1198</v>
      </c>
      <c r="AG156" s="22" t="s">
        <v>1199</v>
      </c>
      <c r="AH156" s="22" t="s">
        <v>230</v>
      </c>
      <c r="AI156" s="22" t="s">
        <v>137</v>
      </c>
      <c r="AJ156" s="22" t="n">
        <v>10</v>
      </c>
      <c r="AK156" s="22" t="n">
        <v>1</v>
      </c>
      <c r="AL156" s="22" t="n">
        <v>2</v>
      </c>
      <c r="AM156" s="22" t="n">
        <f aca="false">AL156+AK156+AJ156</f>
        <v>13</v>
      </c>
      <c r="AN156" s="22" t="n">
        <v>10</v>
      </c>
      <c r="AO156" s="22" t="n">
        <v>1</v>
      </c>
      <c r="AP156" s="22" t="n">
        <f aca="false">AN156+AO156</f>
        <v>11</v>
      </c>
      <c r="AQ156" s="22" t="n">
        <v>0</v>
      </c>
      <c r="AR156" s="22" t="n">
        <v>0</v>
      </c>
      <c r="AS156" s="22" t="n">
        <v>1</v>
      </c>
      <c r="AT156" s="22" t="n">
        <v>1</v>
      </c>
      <c r="AU156" s="22" t="n">
        <v>1</v>
      </c>
      <c r="AV156" s="22" t="n">
        <v>0</v>
      </c>
      <c r="AW156" s="22" t="n">
        <v>0</v>
      </c>
      <c r="AX156" s="22" t="n">
        <v>0</v>
      </c>
      <c r="AY156" s="22" t="s">
        <v>160</v>
      </c>
      <c r="AZ156" s="22" t="s">
        <v>139</v>
      </c>
    </row>
    <row r="157" customFormat="false" ht="14.25" hidden="false" customHeight="false" outlineLevel="0" collapsed="false">
      <c r="B157" s="22" t="n">
        <f aca="false">B156+1</f>
        <v>8</v>
      </c>
      <c r="C157" s="22" t="s">
        <v>1200</v>
      </c>
      <c r="D157" s="22" t="s">
        <v>16</v>
      </c>
      <c r="E157" s="22" t="s">
        <v>21</v>
      </c>
      <c r="F157" s="22" t="n">
        <v>50007162</v>
      </c>
      <c r="G157" s="22" t="s">
        <v>162</v>
      </c>
      <c r="H157" s="22" t="s">
        <v>163</v>
      </c>
      <c r="I157" s="22" t="s">
        <v>122</v>
      </c>
      <c r="J157" s="22" t="s">
        <v>1193</v>
      </c>
      <c r="K157" s="22" t="s">
        <v>1193</v>
      </c>
      <c r="L157" s="22" t="s">
        <v>36</v>
      </c>
      <c r="M157" s="22" t="s">
        <v>124</v>
      </c>
      <c r="N157" s="22" t="s">
        <v>1194</v>
      </c>
      <c r="O157" s="22" t="n">
        <v>1703</v>
      </c>
      <c r="P157" s="22" t="s">
        <v>1201</v>
      </c>
      <c r="Q157" s="22" t="s">
        <v>127</v>
      </c>
      <c r="R157" s="22" t="s">
        <v>1202</v>
      </c>
      <c r="S157" s="22" t="n">
        <v>493773</v>
      </c>
      <c r="T157" s="22" t="s">
        <v>1203</v>
      </c>
      <c r="U157" s="22" t="n">
        <v>81.537515</v>
      </c>
      <c r="V157" s="22" t="s">
        <v>129</v>
      </c>
      <c r="W157" s="22" t="n">
        <v>2017</v>
      </c>
      <c r="X157" s="22" t="n">
        <v>44774</v>
      </c>
      <c r="Y157" s="22" t="n">
        <v>1850</v>
      </c>
      <c r="Z157" s="22" t="n">
        <v>1850</v>
      </c>
      <c r="AA157" s="22" t="s">
        <v>23</v>
      </c>
      <c r="AB157" s="22" t="s">
        <v>1155</v>
      </c>
      <c r="AC157" s="22" t="s">
        <v>1156</v>
      </c>
      <c r="AD157" s="22" t="s">
        <v>1157</v>
      </c>
      <c r="AE157" s="22" t="s">
        <v>1197</v>
      </c>
      <c r="AF157" s="22" t="s">
        <v>1198</v>
      </c>
      <c r="AG157" s="22" t="s">
        <v>1199</v>
      </c>
      <c r="AH157" s="22" t="s">
        <v>230</v>
      </c>
      <c r="AI157" s="22" t="s">
        <v>314</v>
      </c>
      <c r="AJ157" s="22" t="n">
        <v>18</v>
      </c>
      <c r="AK157" s="22" t="n">
        <v>0</v>
      </c>
      <c r="AL157" s="22" t="n">
        <v>0</v>
      </c>
      <c r="AM157" s="22" t="n">
        <f aca="false">AL157+AK157+AJ157</f>
        <v>18</v>
      </c>
      <c r="AN157" s="22" t="n">
        <v>10</v>
      </c>
      <c r="AO157" s="22" t="n">
        <v>5</v>
      </c>
      <c r="AP157" s="22" t="n">
        <f aca="false">AN157+AO157</f>
        <v>15</v>
      </c>
      <c r="AQ157" s="22" t="n">
        <v>1</v>
      </c>
      <c r="AR157" s="22" t="n">
        <v>1</v>
      </c>
      <c r="AS157" s="22" t="n">
        <v>0</v>
      </c>
      <c r="AT157" s="22" t="n">
        <v>0</v>
      </c>
      <c r="AU157" s="22" t="n">
        <v>1</v>
      </c>
      <c r="AV157" s="22" t="n">
        <v>0</v>
      </c>
      <c r="AW157" s="22" t="n">
        <v>0</v>
      </c>
      <c r="AX157" s="22" t="n">
        <v>0</v>
      </c>
      <c r="AY157" s="22" t="s">
        <v>160</v>
      </c>
      <c r="AZ157" s="22" t="s">
        <v>139</v>
      </c>
    </row>
    <row r="158" customFormat="false" ht="14.25" hidden="false" customHeight="false" outlineLevel="0" collapsed="false">
      <c r="B158" s="22" t="n">
        <f aca="false">B157+1</f>
        <v>9</v>
      </c>
      <c r="C158" s="22" t="s">
        <v>1204</v>
      </c>
      <c r="D158" s="22" t="s">
        <v>16</v>
      </c>
      <c r="E158" s="22" t="s">
        <v>21</v>
      </c>
      <c r="F158" s="22" t="n">
        <v>50001378</v>
      </c>
      <c r="G158" s="22" t="s">
        <v>120</v>
      </c>
      <c r="H158" s="22" t="s">
        <v>121</v>
      </c>
      <c r="I158" s="22" t="s">
        <v>122</v>
      </c>
      <c r="J158" s="22" t="s">
        <v>1205</v>
      </c>
      <c r="K158" s="22" t="s">
        <v>1205</v>
      </c>
      <c r="L158" s="22" t="s">
        <v>36</v>
      </c>
      <c r="M158" s="22" t="s">
        <v>124</v>
      </c>
      <c r="N158" s="22" t="s">
        <v>1206</v>
      </c>
      <c r="O158" s="22" t="n">
        <v>6974</v>
      </c>
      <c r="P158" s="22" t="s">
        <v>1207</v>
      </c>
      <c r="Q158" s="22" t="s">
        <v>127</v>
      </c>
      <c r="R158" s="22" t="s">
        <v>1208</v>
      </c>
      <c r="S158" s="22" t="n">
        <v>491445</v>
      </c>
      <c r="T158" s="22" t="n">
        <v>21.189952</v>
      </c>
      <c r="U158" s="22" t="n">
        <v>80.7509</v>
      </c>
      <c r="V158" s="22" t="s">
        <v>129</v>
      </c>
      <c r="W158" s="22" t="n">
        <v>2018</v>
      </c>
      <c r="X158" s="22" t="n">
        <v>43405</v>
      </c>
      <c r="Y158" s="22" t="n">
        <v>1187</v>
      </c>
      <c r="Z158" s="22" t="n">
        <v>1187</v>
      </c>
      <c r="AA158" s="22" t="s">
        <v>23</v>
      </c>
      <c r="AB158" s="22" t="s">
        <v>1155</v>
      </c>
      <c r="AC158" s="22" t="s">
        <v>1156</v>
      </c>
      <c r="AD158" s="22" t="s">
        <v>1157</v>
      </c>
      <c r="AE158" s="22" t="s">
        <v>1209</v>
      </c>
      <c r="AF158" s="22" t="s">
        <v>1210</v>
      </c>
      <c r="AG158" s="22" t="s">
        <v>1211</v>
      </c>
      <c r="AH158" s="22" t="s">
        <v>136</v>
      </c>
      <c r="AI158" s="22" t="s">
        <v>137</v>
      </c>
      <c r="AJ158" s="22" t="n">
        <v>12</v>
      </c>
      <c r="AK158" s="22" t="n">
        <v>2</v>
      </c>
      <c r="AL158" s="22" t="n">
        <v>2</v>
      </c>
      <c r="AM158" s="22" t="n">
        <f aca="false">AL158+AK158+AJ158</f>
        <v>16</v>
      </c>
      <c r="AN158" s="22" t="n">
        <v>9</v>
      </c>
      <c r="AO158" s="22" t="n">
        <v>3</v>
      </c>
      <c r="AP158" s="22" t="n">
        <f aca="false">AN158+AO158</f>
        <v>12</v>
      </c>
      <c r="AQ158" s="22" t="n">
        <v>0</v>
      </c>
      <c r="AR158" s="22" t="n">
        <v>0</v>
      </c>
      <c r="AS158" s="22" t="n">
        <v>1</v>
      </c>
      <c r="AT158" s="22" t="n">
        <v>0</v>
      </c>
      <c r="AU158" s="22" t="n">
        <v>1</v>
      </c>
      <c r="AV158" s="22" t="n">
        <v>0</v>
      </c>
      <c r="AW158" s="22" t="n">
        <v>0</v>
      </c>
      <c r="AX158" s="22" t="n">
        <v>0</v>
      </c>
      <c r="AY158" s="22" t="s">
        <v>138</v>
      </c>
      <c r="AZ158" s="22" t="s">
        <v>139</v>
      </c>
    </row>
    <row r="159" customFormat="false" ht="14.25" hidden="false" customHeight="false" outlineLevel="0" collapsed="false">
      <c r="B159" s="22" t="n">
        <f aca="false">B158+1</f>
        <v>10</v>
      </c>
      <c r="C159" s="22" t="s">
        <v>1212</v>
      </c>
      <c r="D159" s="22" t="s">
        <v>16</v>
      </c>
      <c r="E159" s="22" t="s">
        <v>21</v>
      </c>
      <c r="F159" s="22" t="n">
        <v>50000875</v>
      </c>
      <c r="G159" s="22" t="s">
        <v>120</v>
      </c>
      <c r="H159" s="22" t="s">
        <v>207</v>
      </c>
      <c r="I159" s="22" t="s">
        <v>122</v>
      </c>
      <c r="J159" s="22" t="s">
        <v>1213</v>
      </c>
      <c r="K159" s="22" t="s">
        <v>1213</v>
      </c>
      <c r="L159" s="22" t="s">
        <v>36</v>
      </c>
      <c r="M159" s="22" t="s">
        <v>153</v>
      </c>
      <c r="N159" s="22" t="s">
        <v>1214</v>
      </c>
      <c r="O159" s="22" t="n">
        <v>2812</v>
      </c>
      <c r="P159" s="22" t="s">
        <v>1215</v>
      </c>
      <c r="Q159" s="22" t="s">
        <v>127</v>
      </c>
      <c r="R159" s="22" t="s">
        <v>1216</v>
      </c>
      <c r="S159" s="22" t="n">
        <v>494001</v>
      </c>
      <c r="T159" s="22" t="n">
        <v>19.086246</v>
      </c>
      <c r="U159" s="22" t="n">
        <v>82.017225</v>
      </c>
      <c r="V159" s="22" t="s">
        <v>129</v>
      </c>
      <c r="W159" s="22" t="n">
        <v>2017</v>
      </c>
      <c r="X159" s="22" t="n">
        <v>42819</v>
      </c>
      <c r="Y159" s="22" t="n">
        <v>1050</v>
      </c>
      <c r="Z159" s="22" t="n">
        <v>1350</v>
      </c>
      <c r="AA159" s="22" t="s">
        <v>23</v>
      </c>
      <c r="AB159" s="22" t="s">
        <v>1155</v>
      </c>
      <c r="AC159" s="22" t="s">
        <v>1156</v>
      </c>
      <c r="AD159" s="22" t="s">
        <v>1157</v>
      </c>
      <c r="AE159" s="22" t="s">
        <v>1217</v>
      </c>
      <c r="AF159" s="22" t="s">
        <v>1218</v>
      </c>
      <c r="AG159" s="22" t="s">
        <v>1219</v>
      </c>
      <c r="AH159" s="22" t="s">
        <v>136</v>
      </c>
      <c r="AI159" s="22" t="s">
        <v>137</v>
      </c>
      <c r="AJ159" s="22" t="n">
        <v>19</v>
      </c>
      <c r="AK159" s="22" t="n">
        <v>1</v>
      </c>
      <c r="AL159" s="22" t="n">
        <v>0</v>
      </c>
      <c r="AM159" s="22" t="n">
        <f aca="false">AL159+AK159+AJ159</f>
        <v>20</v>
      </c>
      <c r="AN159" s="22" t="n">
        <v>20</v>
      </c>
      <c r="AO159" s="22" t="n">
        <v>7</v>
      </c>
      <c r="AP159" s="22" t="n">
        <f aca="false">AN159+AO159</f>
        <v>27</v>
      </c>
      <c r="AQ159" s="22" t="n">
        <v>0</v>
      </c>
      <c r="AR159" s="22" t="n">
        <v>0</v>
      </c>
      <c r="AS159" s="22" t="n">
        <v>1</v>
      </c>
      <c r="AT159" s="22" t="n">
        <v>0</v>
      </c>
      <c r="AU159" s="22" t="n">
        <v>1</v>
      </c>
      <c r="AV159" s="22" t="n">
        <v>0</v>
      </c>
      <c r="AW159" s="22" t="n">
        <v>0</v>
      </c>
      <c r="AX159" s="22" t="n">
        <v>0</v>
      </c>
      <c r="AY159" s="22" t="s">
        <v>160</v>
      </c>
      <c r="AZ159" s="22" t="s">
        <v>139</v>
      </c>
    </row>
    <row r="160" customFormat="false" ht="14.25" hidden="false" customHeight="false" outlineLevel="0" collapsed="false">
      <c r="B160" s="22" t="n">
        <f aca="false">B159+1</f>
        <v>11</v>
      </c>
      <c r="C160" s="22" t="s">
        <v>1220</v>
      </c>
      <c r="D160" s="22" t="s">
        <v>16</v>
      </c>
      <c r="E160" s="22" t="s">
        <v>21</v>
      </c>
      <c r="F160" s="22" t="n">
        <v>50001530</v>
      </c>
      <c r="G160" s="22" t="s">
        <v>120</v>
      </c>
      <c r="H160" s="22" t="s">
        <v>121</v>
      </c>
      <c r="I160" s="22" t="s">
        <v>122</v>
      </c>
      <c r="J160" s="22" t="s">
        <v>1205</v>
      </c>
      <c r="K160" s="22" t="s">
        <v>1221</v>
      </c>
      <c r="L160" s="22" t="s">
        <v>36</v>
      </c>
      <c r="M160" s="22" t="s">
        <v>124</v>
      </c>
      <c r="N160" s="22" t="s">
        <v>1222</v>
      </c>
      <c r="O160" s="22" t="n">
        <v>7198</v>
      </c>
      <c r="P160" s="22" t="s">
        <v>1223</v>
      </c>
      <c r="Q160" s="22" t="s">
        <v>127</v>
      </c>
      <c r="R160" s="22" t="s">
        <v>1224</v>
      </c>
      <c r="S160" s="22" t="n">
        <v>491881</v>
      </c>
      <c r="T160" s="22" t="n">
        <v>21.415468</v>
      </c>
      <c r="U160" s="22" t="n">
        <v>80.981892</v>
      </c>
      <c r="V160" s="22" t="s">
        <v>129</v>
      </c>
      <c r="W160" s="22" t="n">
        <v>2019</v>
      </c>
      <c r="X160" s="22" t="n">
        <v>43586</v>
      </c>
      <c r="Y160" s="22" t="n">
        <v>1200</v>
      </c>
      <c r="Z160" s="22" t="n">
        <v>1200</v>
      </c>
      <c r="AA160" s="22" t="s">
        <v>23</v>
      </c>
      <c r="AB160" s="22" t="s">
        <v>1155</v>
      </c>
      <c r="AC160" s="22" t="s">
        <v>1156</v>
      </c>
      <c r="AD160" s="22" t="s">
        <v>1157</v>
      </c>
      <c r="AE160" s="22" t="s">
        <v>1225</v>
      </c>
      <c r="AF160" s="22" t="s">
        <v>1226</v>
      </c>
      <c r="AG160" s="22" t="s">
        <v>1227</v>
      </c>
      <c r="AH160" s="22" t="s">
        <v>136</v>
      </c>
      <c r="AI160" s="22" t="s">
        <v>137</v>
      </c>
      <c r="AJ160" s="22" t="n">
        <v>12</v>
      </c>
      <c r="AK160" s="22" t="n">
        <v>1</v>
      </c>
      <c r="AL160" s="22" t="n">
        <v>2</v>
      </c>
      <c r="AM160" s="22" t="n">
        <f aca="false">AL160+AK160+AJ160</f>
        <v>15</v>
      </c>
      <c r="AN160" s="22" t="n">
        <v>11</v>
      </c>
      <c r="AO160" s="22" t="n">
        <v>5</v>
      </c>
      <c r="AP160" s="22" t="n">
        <f aca="false">AN160+AO160</f>
        <v>16</v>
      </c>
      <c r="AQ160" s="22" t="n">
        <v>1</v>
      </c>
      <c r="AR160" s="22" t="n">
        <v>1</v>
      </c>
      <c r="AS160" s="22" t="n">
        <v>0</v>
      </c>
      <c r="AT160" s="22" t="n">
        <v>0</v>
      </c>
      <c r="AU160" s="22" t="n">
        <v>1</v>
      </c>
      <c r="AV160" s="22" t="n">
        <v>0</v>
      </c>
      <c r="AW160" s="22" t="n">
        <v>0</v>
      </c>
      <c r="AX160" s="22" t="n">
        <v>0</v>
      </c>
      <c r="AY160" s="22" t="s">
        <v>138</v>
      </c>
      <c r="AZ160" s="22" t="s">
        <v>139</v>
      </c>
    </row>
    <row r="161" customFormat="false" ht="14.25" hidden="false" customHeight="false" outlineLevel="0" collapsed="false">
      <c r="B161" s="22" t="n">
        <f aca="false">B160+1</f>
        <v>12</v>
      </c>
      <c r="C161" s="22" t="s">
        <v>1228</v>
      </c>
      <c r="D161" s="22" t="s">
        <v>16</v>
      </c>
      <c r="E161" s="22" t="s">
        <v>21</v>
      </c>
      <c r="F161" s="22" t="n">
        <v>50005305</v>
      </c>
      <c r="G161" s="22" t="s">
        <v>120</v>
      </c>
      <c r="H161" s="22" t="s">
        <v>141</v>
      </c>
      <c r="I161" s="22" t="s">
        <v>122</v>
      </c>
      <c r="J161" s="22" t="s">
        <v>1186</v>
      </c>
      <c r="K161" s="22" t="s">
        <v>1186</v>
      </c>
      <c r="L161" s="22" t="s">
        <v>36</v>
      </c>
      <c r="M161" s="22" t="s">
        <v>124</v>
      </c>
      <c r="N161" s="22" t="s">
        <v>1229</v>
      </c>
      <c r="O161" s="22" t="n">
        <v>12355</v>
      </c>
      <c r="P161" s="22" t="s">
        <v>1230</v>
      </c>
      <c r="Q161" s="22" t="s">
        <v>127</v>
      </c>
      <c r="R161" s="22" t="s">
        <v>1231</v>
      </c>
      <c r="S161" s="22" t="n">
        <v>493225</v>
      </c>
      <c r="T161" s="22" t="n">
        <v>21.397981</v>
      </c>
      <c r="U161" s="22" t="n">
        <v>81.929072</v>
      </c>
      <c r="V161" s="22" t="s">
        <v>129</v>
      </c>
      <c r="W161" s="22" t="n">
        <v>2023</v>
      </c>
      <c r="X161" s="22" t="n">
        <v>45230</v>
      </c>
      <c r="Y161" s="22" t="n">
        <v>933</v>
      </c>
      <c r="Z161" s="22" t="n">
        <v>1250</v>
      </c>
      <c r="AA161" s="22" t="s">
        <v>23</v>
      </c>
      <c r="AB161" s="22" t="s">
        <v>1155</v>
      </c>
      <c r="AC161" s="22" t="s">
        <v>1156</v>
      </c>
      <c r="AD161" s="22" t="s">
        <v>1157</v>
      </c>
      <c r="AE161" s="22" t="s">
        <v>1232</v>
      </c>
      <c r="AF161" s="22" t="s">
        <v>1233</v>
      </c>
      <c r="AG161" s="22" t="s">
        <v>1234</v>
      </c>
      <c r="AH161" s="22" t="s">
        <v>136</v>
      </c>
      <c r="AI161" s="22" t="s">
        <v>137</v>
      </c>
      <c r="AJ161" s="22" t="n">
        <v>6</v>
      </c>
      <c r="AK161" s="22" t="n">
        <v>1</v>
      </c>
      <c r="AL161" s="22" t="n">
        <v>0</v>
      </c>
      <c r="AM161" s="22" t="n">
        <f aca="false">AL161+AK161+AJ161</f>
        <v>7</v>
      </c>
      <c r="AN161" s="22" t="n">
        <v>4</v>
      </c>
      <c r="AO161" s="22" t="n">
        <v>1</v>
      </c>
      <c r="AP161" s="22" t="n">
        <f aca="false">AN161+AO161</f>
        <v>5</v>
      </c>
      <c r="AQ161" s="22" t="n">
        <v>0</v>
      </c>
      <c r="AR161" s="22" t="n">
        <v>1</v>
      </c>
      <c r="AS161" s="22" t="n">
        <v>1</v>
      </c>
      <c r="AT161" s="22" t="n">
        <v>0</v>
      </c>
      <c r="AU161" s="22" t="n">
        <v>1</v>
      </c>
      <c r="AV161" s="22" t="n">
        <v>0</v>
      </c>
      <c r="AW161" s="22" t="n">
        <v>0</v>
      </c>
      <c r="AX161" s="22" t="n">
        <v>0</v>
      </c>
      <c r="AY161" s="22" t="s">
        <v>138</v>
      </c>
      <c r="AZ161" s="22" t="s">
        <v>139</v>
      </c>
    </row>
    <row r="162" customFormat="false" ht="14.25" hidden="false" customHeight="false" outlineLevel="0" collapsed="false">
      <c r="B162" s="22" t="n">
        <f aca="false">B161+1</f>
        <v>13</v>
      </c>
      <c r="C162" s="22" t="s">
        <v>1235</v>
      </c>
      <c r="D162" s="22" t="s">
        <v>16</v>
      </c>
      <c r="E162" s="22" t="s">
        <v>21</v>
      </c>
      <c r="F162" s="22" t="n">
        <v>50001531</v>
      </c>
      <c r="G162" s="22" t="s">
        <v>120</v>
      </c>
      <c r="H162" s="22" t="s">
        <v>121</v>
      </c>
      <c r="I162" s="22" t="s">
        <v>122</v>
      </c>
      <c r="J162" s="22" t="s">
        <v>1235</v>
      </c>
      <c r="K162" s="22" t="s">
        <v>1235</v>
      </c>
      <c r="L162" s="22" t="s">
        <v>36</v>
      </c>
      <c r="M162" s="22" t="s">
        <v>124</v>
      </c>
      <c r="N162" s="22" t="s">
        <v>1236</v>
      </c>
      <c r="O162" s="22" t="n">
        <v>7199</v>
      </c>
      <c r="P162" s="22" t="s">
        <v>1237</v>
      </c>
      <c r="Q162" s="22" t="s">
        <v>165</v>
      </c>
      <c r="R162" s="22" t="s">
        <v>1238</v>
      </c>
      <c r="S162" s="22" t="n">
        <v>494226</v>
      </c>
      <c r="T162" s="22" t="n">
        <v>19.60022</v>
      </c>
      <c r="U162" s="22" t="n">
        <v>81.668028</v>
      </c>
      <c r="V162" s="22" t="s">
        <v>129</v>
      </c>
      <c r="W162" s="22" t="n">
        <v>2019</v>
      </c>
      <c r="X162" s="22" t="n">
        <v>43586</v>
      </c>
      <c r="Y162" s="22" t="n">
        <v>1100</v>
      </c>
      <c r="Z162" s="22" t="n">
        <v>1100</v>
      </c>
      <c r="AA162" s="22" t="s">
        <v>23</v>
      </c>
      <c r="AB162" s="22" t="s">
        <v>1155</v>
      </c>
      <c r="AC162" s="22" t="s">
        <v>1156</v>
      </c>
      <c r="AD162" s="22" t="s">
        <v>1157</v>
      </c>
      <c r="AE162" s="22" t="s">
        <v>1239</v>
      </c>
      <c r="AF162" s="22" t="s">
        <v>1240</v>
      </c>
      <c r="AG162" s="22" t="s">
        <v>1241</v>
      </c>
      <c r="AH162" s="22" t="s">
        <v>136</v>
      </c>
      <c r="AI162" s="22" t="s">
        <v>137</v>
      </c>
      <c r="AJ162" s="22" t="n">
        <v>12</v>
      </c>
      <c r="AK162" s="22" t="n">
        <v>1</v>
      </c>
      <c r="AL162" s="22" t="n">
        <v>2</v>
      </c>
      <c r="AM162" s="22" t="n">
        <f aca="false">AL162+AK162+AJ162</f>
        <v>15</v>
      </c>
      <c r="AN162" s="22" t="n">
        <v>6</v>
      </c>
      <c r="AO162" s="22" t="n">
        <v>2</v>
      </c>
      <c r="AP162" s="22" t="n">
        <f aca="false">AN162+AO162</f>
        <v>8</v>
      </c>
      <c r="AQ162" s="22" t="n">
        <v>0</v>
      </c>
      <c r="AR162" s="22" t="n">
        <v>0</v>
      </c>
      <c r="AS162" s="22" t="n">
        <v>1</v>
      </c>
      <c r="AT162" s="22" t="n">
        <v>0</v>
      </c>
      <c r="AU162" s="22" t="n">
        <v>1</v>
      </c>
      <c r="AV162" s="22" t="n">
        <v>0</v>
      </c>
      <c r="AW162" s="22" t="n">
        <v>0</v>
      </c>
      <c r="AX162" s="22" t="n">
        <v>0</v>
      </c>
      <c r="AY162" s="22" t="s">
        <v>138</v>
      </c>
      <c r="AZ162" s="22" t="s">
        <v>139</v>
      </c>
    </row>
    <row r="163" customFormat="false" ht="14.25" hidden="false" customHeight="false" outlineLevel="0" collapsed="false">
      <c r="B163" s="22" t="n">
        <f aca="false">B162+1</f>
        <v>14</v>
      </c>
      <c r="C163" s="22" t="s">
        <v>1242</v>
      </c>
      <c r="D163" s="22" t="s">
        <v>16</v>
      </c>
      <c r="E163" s="22" t="s">
        <v>21</v>
      </c>
      <c r="F163" s="22" t="n">
        <v>50005974</v>
      </c>
      <c r="G163" s="22" t="s">
        <v>120</v>
      </c>
      <c r="H163" s="22" t="s">
        <v>141</v>
      </c>
      <c r="I163" s="22" t="s">
        <v>122</v>
      </c>
      <c r="J163" s="22" t="s">
        <v>1171</v>
      </c>
      <c r="K163" s="22" t="s">
        <v>1171</v>
      </c>
      <c r="L163" s="22" t="s">
        <v>36</v>
      </c>
      <c r="M163" s="22" t="s">
        <v>153</v>
      </c>
      <c r="N163" s="22" t="s">
        <v>1243</v>
      </c>
      <c r="O163" s="22" t="n">
        <v>12811</v>
      </c>
      <c r="P163" s="22" t="s">
        <v>1244</v>
      </c>
      <c r="Q163" s="22" t="s">
        <v>146</v>
      </c>
      <c r="R163" s="22" t="s">
        <v>1245</v>
      </c>
      <c r="S163" s="22" t="n">
        <v>490042</v>
      </c>
      <c r="T163" s="22" t="n">
        <v>21.253136</v>
      </c>
      <c r="U163" s="22" t="n">
        <v>81.527047</v>
      </c>
      <c r="V163" s="22" t="s">
        <v>129</v>
      </c>
      <c r="W163" s="22" t="n">
        <v>2024</v>
      </c>
      <c r="X163" s="22" t="n">
        <v>45296</v>
      </c>
      <c r="Y163" s="22" t="n">
        <v>1000</v>
      </c>
      <c r="Z163" s="22" t="n">
        <v>1386</v>
      </c>
      <c r="AA163" s="22" t="s">
        <v>23</v>
      </c>
      <c r="AB163" s="22" t="s">
        <v>1155</v>
      </c>
      <c r="AC163" s="22" t="s">
        <v>1156</v>
      </c>
      <c r="AD163" s="22" t="s">
        <v>1157</v>
      </c>
      <c r="AE163" s="22" t="s">
        <v>1246</v>
      </c>
      <c r="AF163" s="22" t="s">
        <v>1247</v>
      </c>
      <c r="AG163" s="22" t="s">
        <v>1248</v>
      </c>
      <c r="AH163" s="22" t="s">
        <v>136</v>
      </c>
      <c r="AI163" s="22" t="s">
        <v>137</v>
      </c>
      <c r="AJ163" s="22" t="n">
        <v>4</v>
      </c>
      <c r="AK163" s="22" t="n">
        <v>1</v>
      </c>
      <c r="AL163" s="22" t="n">
        <v>0</v>
      </c>
      <c r="AM163" s="22" t="n">
        <f aca="false">AL163+AK163+AJ163</f>
        <v>5</v>
      </c>
      <c r="AN163" s="22" t="n">
        <v>1</v>
      </c>
      <c r="AO163" s="22" t="n">
        <v>0</v>
      </c>
      <c r="AP163" s="22" t="n">
        <f aca="false">AN163+AO163</f>
        <v>1</v>
      </c>
      <c r="AQ163" s="22" t="n">
        <v>1</v>
      </c>
      <c r="AR163" s="22" t="n">
        <v>1</v>
      </c>
      <c r="AS163" s="22" t="n">
        <v>0</v>
      </c>
      <c r="AT163" s="22" t="n">
        <v>0</v>
      </c>
      <c r="AU163" s="22" t="n">
        <v>1</v>
      </c>
      <c r="AV163" s="22" t="n">
        <v>0</v>
      </c>
      <c r="AW163" s="22" t="n">
        <v>0</v>
      </c>
      <c r="AX163" s="22" t="n">
        <v>0</v>
      </c>
      <c r="AY163" s="22" t="s">
        <v>138</v>
      </c>
      <c r="AZ163" s="22" t="s">
        <v>139</v>
      </c>
    </row>
    <row r="164" customFormat="false" ht="14.25" hidden="false" customHeight="false" outlineLevel="0" collapsed="false">
      <c r="B164" s="22" t="n">
        <f aca="false">B163+1</f>
        <v>15</v>
      </c>
      <c r="C164" s="22" t="s">
        <v>1249</v>
      </c>
      <c r="D164" s="22" t="s">
        <v>16</v>
      </c>
      <c r="E164" s="22" t="s">
        <v>21</v>
      </c>
      <c r="F164" s="22" t="n">
        <v>50001027</v>
      </c>
      <c r="G164" s="22" t="s">
        <v>120</v>
      </c>
      <c r="H164" s="22" t="s">
        <v>121</v>
      </c>
      <c r="I164" s="22" t="s">
        <v>658</v>
      </c>
      <c r="J164" s="22" t="s">
        <v>1249</v>
      </c>
      <c r="K164" s="22" t="s">
        <v>1249</v>
      </c>
      <c r="L164" s="22" t="s">
        <v>36</v>
      </c>
      <c r="M164" s="22" t="s">
        <v>124</v>
      </c>
      <c r="N164" s="22" t="s">
        <v>1250</v>
      </c>
      <c r="O164" s="22" t="n">
        <v>1020</v>
      </c>
      <c r="P164" s="22" t="s">
        <v>1251</v>
      </c>
      <c r="Q164" s="22" t="s">
        <v>127</v>
      </c>
      <c r="R164" s="22" t="s">
        <v>1252</v>
      </c>
      <c r="S164" s="22" t="n">
        <v>493445</v>
      </c>
      <c r="T164" s="22" t="n">
        <v>21.11194</v>
      </c>
      <c r="U164" s="22" t="n">
        <v>82.10182</v>
      </c>
      <c r="V164" s="22" t="s">
        <v>129</v>
      </c>
      <c r="W164" s="22" t="n">
        <v>2017</v>
      </c>
      <c r="X164" s="22" t="n">
        <v>43009</v>
      </c>
      <c r="Y164" s="22" t="n">
        <v>1250</v>
      </c>
      <c r="Z164" s="22" t="n">
        <v>1250</v>
      </c>
      <c r="AA164" s="22" t="s">
        <v>23</v>
      </c>
      <c r="AB164" s="22" t="s">
        <v>1155</v>
      </c>
      <c r="AC164" s="22" t="s">
        <v>1156</v>
      </c>
      <c r="AD164" s="22" t="s">
        <v>1157</v>
      </c>
      <c r="AE164" s="22" t="s">
        <v>1253</v>
      </c>
      <c r="AF164" s="22" t="s">
        <v>1254</v>
      </c>
      <c r="AG164" s="22" t="s">
        <v>1255</v>
      </c>
      <c r="AH164" s="22" t="s">
        <v>136</v>
      </c>
      <c r="AI164" s="22" t="s">
        <v>137</v>
      </c>
      <c r="AJ164" s="22" t="n">
        <v>16</v>
      </c>
      <c r="AK164" s="22" t="n">
        <v>1</v>
      </c>
      <c r="AL164" s="22" t="n">
        <v>2</v>
      </c>
      <c r="AM164" s="22" t="n">
        <f aca="false">AL164+AK164+AJ164</f>
        <v>19</v>
      </c>
      <c r="AN164" s="22" t="n">
        <v>15</v>
      </c>
      <c r="AO164" s="22" t="n">
        <v>9</v>
      </c>
      <c r="AP164" s="22" t="n">
        <f aca="false">AN164+AO164</f>
        <v>24</v>
      </c>
      <c r="AQ164" s="22" t="n">
        <v>0</v>
      </c>
      <c r="AR164" s="22" t="n">
        <v>0</v>
      </c>
      <c r="AS164" s="22" t="n">
        <v>1</v>
      </c>
      <c r="AT164" s="22" t="n">
        <v>0</v>
      </c>
      <c r="AU164" s="22" t="n">
        <v>1</v>
      </c>
      <c r="AV164" s="22" t="n">
        <v>0</v>
      </c>
      <c r="AW164" s="22" t="n">
        <v>0</v>
      </c>
      <c r="AX164" s="22" t="n">
        <v>0</v>
      </c>
      <c r="AY164" s="22" t="s">
        <v>138</v>
      </c>
      <c r="AZ164" s="22" t="s">
        <v>1256</v>
      </c>
    </row>
    <row r="165" customFormat="false" ht="14.25" hidden="false" customHeight="false" outlineLevel="0" collapsed="false">
      <c r="B165" s="22" t="n">
        <f aca="false">B164+1</f>
        <v>16</v>
      </c>
      <c r="C165" s="22" t="s">
        <v>1257</v>
      </c>
      <c r="D165" s="22" t="s">
        <v>16</v>
      </c>
      <c r="E165" s="22" t="s">
        <v>21</v>
      </c>
      <c r="F165" s="22" t="n">
        <v>50005329</v>
      </c>
      <c r="G165" s="22" t="s">
        <v>120</v>
      </c>
      <c r="H165" s="22" t="s">
        <v>141</v>
      </c>
      <c r="I165" s="22" t="s">
        <v>122</v>
      </c>
      <c r="J165" s="22" t="s">
        <v>1212</v>
      </c>
      <c r="K165" s="22" t="s">
        <v>1258</v>
      </c>
      <c r="L165" s="22" t="s">
        <v>36</v>
      </c>
      <c r="M165" s="22" t="s">
        <v>124</v>
      </c>
      <c r="N165" s="22" t="s">
        <v>1259</v>
      </c>
      <c r="O165" s="22" t="n">
        <v>12324</v>
      </c>
      <c r="P165" s="22" t="s">
        <v>1260</v>
      </c>
      <c r="Q165" s="22" t="s">
        <v>127</v>
      </c>
      <c r="R165" s="22" t="s">
        <v>1261</v>
      </c>
      <c r="S165" s="22" t="n">
        <v>494776</v>
      </c>
      <c r="T165" s="22" t="n">
        <v>20.045887</v>
      </c>
      <c r="U165" s="22" t="n">
        <v>80.623757</v>
      </c>
      <c r="V165" s="22" t="s">
        <v>129</v>
      </c>
      <c r="W165" s="22" t="n">
        <v>2023</v>
      </c>
      <c r="X165" s="22" t="n">
        <v>45230</v>
      </c>
      <c r="Y165" s="22" t="n">
        <v>850</v>
      </c>
      <c r="Z165" s="22" t="n">
        <v>950</v>
      </c>
      <c r="AA165" s="22" t="s">
        <v>23</v>
      </c>
      <c r="AB165" s="22" t="s">
        <v>1155</v>
      </c>
      <c r="AC165" s="22" t="s">
        <v>1156</v>
      </c>
      <c r="AD165" s="22" t="s">
        <v>1157</v>
      </c>
      <c r="AE165" s="22" t="s">
        <v>1262</v>
      </c>
      <c r="AF165" s="22" t="s">
        <v>1263</v>
      </c>
      <c r="AG165" s="22" t="s">
        <v>1264</v>
      </c>
      <c r="AH165" s="22" t="s">
        <v>136</v>
      </c>
      <c r="AI165" s="22" t="s">
        <v>137</v>
      </c>
      <c r="AJ165" s="22" t="n">
        <v>6</v>
      </c>
      <c r="AK165" s="22" t="n">
        <v>1</v>
      </c>
      <c r="AL165" s="22" t="n">
        <v>0</v>
      </c>
      <c r="AM165" s="22" t="n">
        <f aca="false">AL165+AK165+AJ165</f>
        <v>7</v>
      </c>
      <c r="AN165" s="22" t="n">
        <v>3</v>
      </c>
      <c r="AO165" s="22" t="n">
        <v>0</v>
      </c>
      <c r="AP165" s="22" t="n">
        <f aca="false">AN165+AO165</f>
        <v>3</v>
      </c>
      <c r="AQ165" s="22" t="n">
        <v>1</v>
      </c>
      <c r="AR165" s="22" t="n">
        <v>1</v>
      </c>
      <c r="AS165" s="22" t="n">
        <v>0</v>
      </c>
      <c r="AT165" s="22" t="n">
        <v>0</v>
      </c>
      <c r="AU165" s="22" t="n">
        <v>1</v>
      </c>
      <c r="AV165" s="22" t="n">
        <v>0</v>
      </c>
      <c r="AW165" s="22" t="n">
        <v>0</v>
      </c>
      <c r="AX165" s="22" t="n">
        <v>0</v>
      </c>
      <c r="AY165" s="22" t="s">
        <v>138</v>
      </c>
      <c r="AZ165" s="22" t="s">
        <v>139</v>
      </c>
    </row>
    <row r="166" customFormat="false" ht="14.25" hidden="false" customHeight="false" outlineLevel="0" collapsed="false">
      <c r="B166" s="22" t="n">
        <f aca="false">B165+1</f>
        <v>17</v>
      </c>
      <c r="C166" s="22" t="s">
        <v>1186</v>
      </c>
      <c r="D166" s="22" t="s">
        <v>16</v>
      </c>
      <c r="E166" s="22" t="s">
        <v>21</v>
      </c>
      <c r="F166" s="22" t="n">
        <v>50000585</v>
      </c>
      <c r="G166" s="22" t="s">
        <v>120</v>
      </c>
      <c r="H166" s="22" t="s">
        <v>207</v>
      </c>
      <c r="I166" s="22" t="s">
        <v>122</v>
      </c>
      <c r="J166" s="22" t="s">
        <v>1186</v>
      </c>
      <c r="K166" s="22" t="s">
        <v>1186</v>
      </c>
      <c r="L166" s="22" t="s">
        <v>36</v>
      </c>
      <c r="M166" s="22" t="s">
        <v>153</v>
      </c>
      <c r="N166" s="22" t="s">
        <v>1265</v>
      </c>
      <c r="O166" s="22" t="n">
        <v>410</v>
      </c>
      <c r="P166" s="22" t="n">
        <v>454</v>
      </c>
      <c r="Q166" s="22" t="s">
        <v>127</v>
      </c>
      <c r="R166" s="22" t="s">
        <v>1266</v>
      </c>
      <c r="S166" s="22" t="n">
        <v>492001</v>
      </c>
      <c r="T166" s="22" t="n">
        <v>21.245626</v>
      </c>
      <c r="U166" s="22" t="n">
        <v>81.646722</v>
      </c>
      <c r="V166" s="22" t="s">
        <v>129</v>
      </c>
      <c r="W166" s="22" t="n">
        <v>2009</v>
      </c>
      <c r="X166" s="22" t="n">
        <v>43575</v>
      </c>
      <c r="Y166" s="22" t="n">
        <v>5766</v>
      </c>
      <c r="Z166" s="22" t="n">
        <v>7300</v>
      </c>
      <c r="AA166" s="22" t="s">
        <v>23</v>
      </c>
      <c r="AB166" s="22" t="s">
        <v>1155</v>
      </c>
      <c r="AC166" s="22" t="s">
        <v>1156</v>
      </c>
      <c r="AD166" s="22" t="s">
        <v>1157</v>
      </c>
      <c r="AE166" s="22" t="s">
        <v>1267</v>
      </c>
      <c r="AF166" s="22" t="s">
        <v>1268</v>
      </c>
      <c r="AG166" s="22" t="s">
        <v>1269</v>
      </c>
      <c r="AH166" s="22" t="s">
        <v>230</v>
      </c>
      <c r="AI166" s="22" t="s">
        <v>314</v>
      </c>
      <c r="AJ166" s="22" t="n">
        <v>106</v>
      </c>
      <c r="AK166" s="22" t="n">
        <v>3</v>
      </c>
      <c r="AL166" s="22" t="n">
        <v>3</v>
      </c>
      <c r="AM166" s="22" t="n">
        <f aca="false">AL166+AK166+AJ166</f>
        <v>112</v>
      </c>
      <c r="AN166" s="22" t="n">
        <v>147</v>
      </c>
      <c r="AO166" s="22" t="n">
        <v>40</v>
      </c>
      <c r="AP166" s="22" t="n">
        <f aca="false">AN166+AO166</f>
        <v>187</v>
      </c>
      <c r="AQ166" s="22" t="n">
        <v>3</v>
      </c>
      <c r="AR166" s="22" t="n">
        <v>1</v>
      </c>
      <c r="AS166" s="22" t="n">
        <v>0</v>
      </c>
      <c r="AT166" s="22" t="n">
        <v>1</v>
      </c>
      <c r="AU166" s="22" t="n">
        <v>3</v>
      </c>
      <c r="AV166" s="22" t="n">
        <v>1</v>
      </c>
      <c r="AW166" s="22" t="n">
        <v>1</v>
      </c>
      <c r="AX166" s="22" t="n">
        <v>0</v>
      </c>
      <c r="AY166" s="22" t="s">
        <v>160</v>
      </c>
      <c r="AZ166" s="22" t="s">
        <v>139</v>
      </c>
    </row>
    <row r="167" customFormat="false" ht="14.25" hidden="false" customHeight="false" outlineLevel="0" collapsed="false">
      <c r="B167" s="22" t="n">
        <f aca="false">B166+1</f>
        <v>18</v>
      </c>
      <c r="C167" s="22" t="s">
        <v>1270</v>
      </c>
      <c r="D167" s="22" t="s">
        <v>16</v>
      </c>
      <c r="E167" s="22" t="s">
        <v>21</v>
      </c>
      <c r="F167" s="22" t="n">
        <v>50000585</v>
      </c>
      <c r="G167" s="22" t="s">
        <v>120</v>
      </c>
      <c r="H167" s="22" t="s">
        <v>207</v>
      </c>
      <c r="I167" s="22" t="s">
        <v>122</v>
      </c>
      <c r="J167" s="22" t="s">
        <v>1186</v>
      </c>
      <c r="K167" s="22" t="s">
        <v>1186</v>
      </c>
      <c r="L167" s="22" t="s">
        <v>36</v>
      </c>
      <c r="M167" s="22" t="s">
        <v>153</v>
      </c>
      <c r="N167" s="22" t="s">
        <v>1265</v>
      </c>
      <c r="O167" s="22" t="n">
        <v>410</v>
      </c>
      <c r="P167" s="22" t="n">
        <v>454</v>
      </c>
      <c r="Q167" s="22" t="s">
        <v>127</v>
      </c>
      <c r="R167" s="22" t="s">
        <v>1271</v>
      </c>
      <c r="S167" s="22" t="n">
        <v>492001</v>
      </c>
      <c r="T167" s="22" t="n">
        <v>21.246616</v>
      </c>
      <c r="U167" s="22" t="n">
        <v>81.662075</v>
      </c>
      <c r="V167" s="22" t="s">
        <v>129</v>
      </c>
      <c r="W167" s="22" t="n">
        <v>2009</v>
      </c>
      <c r="X167" s="22" t="n">
        <v>45663</v>
      </c>
      <c r="Y167" s="22" t="n">
        <v>2600</v>
      </c>
      <c r="Z167" s="22" t="n">
        <v>3000</v>
      </c>
      <c r="AA167" s="22" t="s">
        <v>23</v>
      </c>
      <c r="AB167" s="22" t="s">
        <v>1155</v>
      </c>
      <c r="AC167" s="22" t="s">
        <v>1156</v>
      </c>
      <c r="AD167" s="22" t="s">
        <v>1157</v>
      </c>
      <c r="AE167" s="22" t="s">
        <v>1267</v>
      </c>
      <c r="AF167" s="22" t="s">
        <v>1268</v>
      </c>
      <c r="AG167" s="22" t="s">
        <v>1269</v>
      </c>
      <c r="AH167" s="22" t="s">
        <v>230</v>
      </c>
      <c r="AI167" s="22" t="s">
        <v>314</v>
      </c>
      <c r="AJ167" s="22" t="n">
        <v>36</v>
      </c>
      <c r="AK167" s="22" t="n">
        <v>0</v>
      </c>
      <c r="AL167" s="22" t="n">
        <v>0</v>
      </c>
      <c r="AM167" s="22" t="n">
        <f aca="false">AL167+AK167+AJ167</f>
        <v>36</v>
      </c>
      <c r="AN167" s="22" t="n">
        <v>10</v>
      </c>
      <c r="AO167" s="22" t="n">
        <v>50</v>
      </c>
      <c r="AP167" s="22" t="n">
        <f aca="false">AN167+AO167</f>
        <v>60</v>
      </c>
      <c r="AQ167" s="22" t="n">
        <v>1</v>
      </c>
      <c r="AR167" s="22" t="n">
        <v>1</v>
      </c>
      <c r="AS167" s="22" t="n">
        <v>0</v>
      </c>
      <c r="AT167" s="22" t="n">
        <v>0</v>
      </c>
      <c r="AU167" s="22" t="n">
        <v>1</v>
      </c>
      <c r="AV167" s="22" t="n">
        <v>0</v>
      </c>
      <c r="AW167" s="22" t="n">
        <v>0</v>
      </c>
      <c r="AX167" s="22" t="n">
        <v>0</v>
      </c>
      <c r="AY167" s="22" t="s">
        <v>160</v>
      </c>
      <c r="AZ167" s="22" t="s">
        <v>1272</v>
      </c>
    </row>
    <row r="168" customFormat="false" ht="14.25" hidden="false" customHeight="false" outlineLevel="0" collapsed="false">
      <c r="B168" s="22" t="n">
        <f aca="false">B167+1</f>
        <v>19</v>
      </c>
      <c r="C168" s="22" t="s">
        <v>1273</v>
      </c>
      <c r="D168" s="22" t="s">
        <v>16</v>
      </c>
      <c r="E168" s="22" t="s">
        <v>21</v>
      </c>
      <c r="F168" s="22" t="n">
        <v>50001380</v>
      </c>
      <c r="G168" s="22" t="s">
        <v>120</v>
      </c>
      <c r="H168" s="22" t="s">
        <v>121</v>
      </c>
      <c r="I168" s="22" t="s">
        <v>122</v>
      </c>
      <c r="J168" s="22" t="s">
        <v>1185</v>
      </c>
      <c r="K168" s="22" t="s">
        <v>1274</v>
      </c>
      <c r="L168" s="22" t="s">
        <v>36</v>
      </c>
      <c r="M168" s="22" t="s">
        <v>124</v>
      </c>
      <c r="N168" s="22" t="s">
        <v>1275</v>
      </c>
      <c r="O168" s="22" t="n">
        <v>6976</v>
      </c>
      <c r="P168" s="22" t="s">
        <v>1276</v>
      </c>
      <c r="Q168" s="22" t="s">
        <v>146</v>
      </c>
      <c r="R168" s="22" t="s">
        <v>1277</v>
      </c>
      <c r="S168" s="22" t="n">
        <v>493885</v>
      </c>
      <c r="T168" s="22" t="n">
        <v>20.9674</v>
      </c>
      <c r="U168" s="22" t="n">
        <v>81.88153</v>
      </c>
      <c r="V168" s="22" t="s">
        <v>129</v>
      </c>
      <c r="W168" s="22" t="n">
        <v>2018</v>
      </c>
      <c r="X168" s="22" t="n">
        <v>43405</v>
      </c>
      <c r="Y168" s="22" t="n">
        <v>1350</v>
      </c>
      <c r="Z168" s="22" t="n">
        <v>1350</v>
      </c>
      <c r="AA168" s="22" t="s">
        <v>23</v>
      </c>
      <c r="AB168" s="22" t="s">
        <v>1155</v>
      </c>
      <c r="AC168" s="22" t="s">
        <v>1156</v>
      </c>
      <c r="AD168" s="22" t="s">
        <v>1157</v>
      </c>
      <c r="AE168" s="22" t="s">
        <v>1278</v>
      </c>
      <c r="AF168" s="22" t="s">
        <v>1279</v>
      </c>
      <c r="AG168" s="22" t="s">
        <v>1280</v>
      </c>
      <c r="AH168" s="22" t="s">
        <v>136</v>
      </c>
      <c r="AI168" s="22" t="s">
        <v>137</v>
      </c>
      <c r="AJ168" s="22" t="n">
        <v>12</v>
      </c>
      <c r="AK168" s="22" t="n">
        <v>2</v>
      </c>
      <c r="AL168" s="22" t="n">
        <v>2</v>
      </c>
      <c r="AM168" s="22" t="n">
        <f aca="false">AL168+AK168+AJ168</f>
        <v>16</v>
      </c>
      <c r="AN168" s="22" t="n">
        <v>12</v>
      </c>
      <c r="AO168" s="22" t="n">
        <v>2</v>
      </c>
      <c r="AP168" s="22" t="n">
        <f aca="false">AN168+AO168</f>
        <v>14</v>
      </c>
      <c r="AQ168" s="22" t="n">
        <v>0</v>
      </c>
      <c r="AR168" s="22" t="n">
        <v>0</v>
      </c>
      <c r="AS168" s="22" t="n">
        <v>1</v>
      </c>
      <c r="AT168" s="22" t="n">
        <v>0</v>
      </c>
      <c r="AU168" s="22" t="n">
        <v>1</v>
      </c>
      <c r="AV168" s="22" t="n">
        <v>0</v>
      </c>
      <c r="AW168" s="22" t="n">
        <v>0</v>
      </c>
      <c r="AX168" s="22" t="n">
        <v>0</v>
      </c>
      <c r="AY168" s="22" t="s">
        <v>138</v>
      </c>
      <c r="AZ168" s="22" t="s">
        <v>139</v>
      </c>
    </row>
    <row r="169" customFormat="false" ht="14.25" hidden="false" customHeight="false" outlineLevel="0" collapsed="false">
      <c r="B169" s="22" t="n">
        <f aca="false">B168+1</f>
        <v>20</v>
      </c>
      <c r="C169" s="22" t="s">
        <v>1205</v>
      </c>
      <c r="D169" s="22" t="s">
        <v>16</v>
      </c>
      <c r="E169" s="22" t="s">
        <v>21</v>
      </c>
      <c r="F169" s="22" t="n">
        <v>50000592</v>
      </c>
      <c r="G169" s="22" t="s">
        <v>120</v>
      </c>
      <c r="H169" s="22" t="s">
        <v>152</v>
      </c>
      <c r="I169" s="22" t="s">
        <v>122</v>
      </c>
      <c r="J169" s="22" t="s">
        <v>1205</v>
      </c>
      <c r="K169" s="22" t="s">
        <v>1205</v>
      </c>
      <c r="L169" s="22" t="s">
        <v>36</v>
      </c>
      <c r="M169" s="22" t="s">
        <v>153</v>
      </c>
      <c r="N169" s="22" t="s">
        <v>1281</v>
      </c>
      <c r="O169" s="22" t="n">
        <v>170</v>
      </c>
      <c r="P169" s="22" t="n">
        <v>575</v>
      </c>
      <c r="Q169" s="22" t="s">
        <v>127</v>
      </c>
      <c r="R169" s="22" t="s">
        <v>1282</v>
      </c>
      <c r="S169" s="22" t="n">
        <v>491441</v>
      </c>
      <c r="T169" s="22" t="n">
        <v>21.097442</v>
      </c>
      <c r="U169" s="22" t="n">
        <v>81.028277</v>
      </c>
      <c r="V169" s="22" t="s">
        <v>129</v>
      </c>
      <c r="W169" s="22" t="n">
        <v>2015</v>
      </c>
      <c r="X169" s="22" t="n">
        <v>42020</v>
      </c>
      <c r="Y169" s="22" t="n">
        <v>1486</v>
      </c>
      <c r="Z169" s="22" t="n">
        <v>1540</v>
      </c>
      <c r="AA169" s="22" t="s">
        <v>23</v>
      </c>
      <c r="AB169" s="22" t="s">
        <v>1155</v>
      </c>
      <c r="AC169" s="22" t="s">
        <v>1156</v>
      </c>
      <c r="AD169" s="22" t="s">
        <v>1157</v>
      </c>
      <c r="AE169" s="22" t="s">
        <v>1283</v>
      </c>
      <c r="AF169" s="22" t="s">
        <v>1284</v>
      </c>
      <c r="AG169" s="22" t="s">
        <v>1285</v>
      </c>
      <c r="AH169" s="22" t="s">
        <v>136</v>
      </c>
      <c r="AI169" s="22" t="s">
        <v>137</v>
      </c>
      <c r="AJ169" s="22" t="n">
        <v>16</v>
      </c>
      <c r="AK169" s="22" t="n">
        <v>2</v>
      </c>
      <c r="AL169" s="22" t="n">
        <v>2</v>
      </c>
      <c r="AM169" s="22" t="n">
        <f aca="false">AL169+AK169+AJ169</f>
        <v>20</v>
      </c>
      <c r="AN169" s="22" t="n">
        <v>19</v>
      </c>
      <c r="AO169" s="22" t="n">
        <v>5</v>
      </c>
      <c r="AP169" s="22" t="n">
        <f aca="false">AN169+AO169</f>
        <v>24</v>
      </c>
      <c r="AQ169" s="22" t="n">
        <v>1</v>
      </c>
      <c r="AR169" s="22" t="n">
        <v>1</v>
      </c>
      <c r="AS169" s="22" t="n">
        <v>0</v>
      </c>
      <c r="AT169" s="22" t="n">
        <v>0</v>
      </c>
      <c r="AU169" s="22" t="n">
        <v>1</v>
      </c>
      <c r="AV169" s="22" t="n">
        <v>0</v>
      </c>
      <c r="AW169" s="22" t="n">
        <v>0</v>
      </c>
      <c r="AX169" s="22" t="n">
        <v>0</v>
      </c>
      <c r="AY169" s="22" t="s">
        <v>160</v>
      </c>
      <c r="AZ169" s="22" t="s">
        <v>139</v>
      </c>
    </row>
    <row r="170" customFormat="false" ht="14.25" hidden="false" customHeight="false" outlineLevel="0" collapsed="false">
      <c r="B170" s="22" t="n">
        <f aca="false">B169+1</f>
        <v>21</v>
      </c>
      <c r="C170" s="22" t="s">
        <v>1286</v>
      </c>
      <c r="D170" s="22" t="s">
        <v>16</v>
      </c>
      <c r="E170" s="22" t="s">
        <v>21</v>
      </c>
      <c r="F170" s="22" t="n">
        <v>50001499</v>
      </c>
      <c r="G170" s="22" t="s">
        <v>120</v>
      </c>
      <c r="H170" s="22" t="s">
        <v>121</v>
      </c>
      <c r="I170" s="22" t="s">
        <v>122</v>
      </c>
      <c r="J170" s="22" t="s">
        <v>1249</v>
      </c>
      <c r="K170" s="22" t="s">
        <v>1249</v>
      </c>
      <c r="L170" s="22" t="s">
        <v>36</v>
      </c>
      <c r="M170" s="22" t="s">
        <v>124</v>
      </c>
      <c r="N170" s="22" t="s">
        <v>1287</v>
      </c>
      <c r="O170" s="22" t="n">
        <v>7196</v>
      </c>
      <c r="P170" s="22" t="s">
        <v>1288</v>
      </c>
      <c r="Q170" s="22" t="s">
        <v>146</v>
      </c>
      <c r="R170" s="22" t="s">
        <v>1289</v>
      </c>
      <c r="S170" s="22" t="n">
        <v>493558</v>
      </c>
      <c r="T170" s="22" t="n">
        <v>21.31639</v>
      </c>
      <c r="U170" s="22" t="n">
        <v>83.012287</v>
      </c>
      <c r="V170" s="22" t="s">
        <v>129</v>
      </c>
      <c r="W170" s="22" t="n">
        <v>2019</v>
      </c>
      <c r="X170" s="22" t="n">
        <v>43525</v>
      </c>
      <c r="Y170" s="22" t="n">
        <v>1250</v>
      </c>
      <c r="Z170" s="22" t="n">
        <v>1250</v>
      </c>
      <c r="AA170" s="22" t="s">
        <v>23</v>
      </c>
      <c r="AB170" s="22" t="s">
        <v>1155</v>
      </c>
      <c r="AC170" s="22" t="s">
        <v>1156</v>
      </c>
      <c r="AD170" s="22" t="s">
        <v>1157</v>
      </c>
      <c r="AE170" s="22" t="s">
        <v>1290</v>
      </c>
      <c r="AF170" s="22" t="s">
        <v>1291</v>
      </c>
      <c r="AG170" s="22" t="s">
        <v>1292</v>
      </c>
      <c r="AH170" s="22" t="s">
        <v>136</v>
      </c>
      <c r="AI170" s="22" t="s">
        <v>137</v>
      </c>
      <c r="AJ170" s="22" t="n">
        <v>12</v>
      </c>
      <c r="AK170" s="22" t="n">
        <v>1</v>
      </c>
      <c r="AL170" s="22" t="n">
        <v>2</v>
      </c>
      <c r="AM170" s="22" t="n">
        <f aca="false">AL170+AK170+AJ170</f>
        <v>15</v>
      </c>
      <c r="AN170" s="22" t="n">
        <v>11</v>
      </c>
      <c r="AO170" s="22" t="n">
        <v>3</v>
      </c>
      <c r="AP170" s="22" t="n">
        <f aca="false">AN170+AO170</f>
        <v>14</v>
      </c>
      <c r="AQ170" s="22" t="n">
        <v>0</v>
      </c>
      <c r="AR170" s="22" t="n">
        <v>0</v>
      </c>
      <c r="AS170" s="22" t="n">
        <v>1</v>
      </c>
      <c r="AT170" s="22" t="n">
        <v>0</v>
      </c>
      <c r="AU170" s="22" t="n">
        <v>1</v>
      </c>
      <c r="AV170" s="22" t="n">
        <v>0</v>
      </c>
      <c r="AW170" s="22" t="n">
        <v>0</v>
      </c>
      <c r="AX170" s="22" t="n">
        <v>0</v>
      </c>
      <c r="AY170" s="22" t="s">
        <v>138</v>
      </c>
      <c r="AZ170" s="22" t="s">
        <v>139</v>
      </c>
    </row>
    <row r="171" customFormat="false" ht="14.25" hidden="false" customHeight="false" outlineLevel="0" collapsed="false">
      <c r="B171" s="22" t="n">
        <f aca="false">B170+1</f>
        <v>22</v>
      </c>
      <c r="C171" s="22" t="s">
        <v>1258</v>
      </c>
      <c r="D171" s="22" t="s">
        <v>16</v>
      </c>
      <c r="E171" s="22" t="s">
        <v>21</v>
      </c>
      <c r="F171" s="22" t="n">
        <v>50007807</v>
      </c>
      <c r="G171" s="22" t="s">
        <v>120</v>
      </c>
      <c r="H171" s="22" t="s">
        <v>141</v>
      </c>
      <c r="I171" s="22" t="s">
        <v>122</v>
      </c>
      <c r="J171" s="22" t="s">
        <v>1258</v>
      </c>
      <c r="K171" s="22" t="s">
        <v>1258</v>
      </c>
      <c r="L171" s="22" t="s">
        <v>36</v>
      </c>
      <c r="M171" s="22" t="s">
        <v>124</v>
      </c>
      <c r="N171" s="22" t="s">
        <v>1293</v>
      </c>
      <c r="O171" s="22" t="n">
        <v>15080</v>
      </c>
      <c r="P171" s="22" t="s">
        <v>1294</v>
      </c>
      <c r="Q171" s="22" t="s">
        <v>127</v>
      </c>
      <c r="R171" s="22" t="s">
        <v>1295</v>
      </c>
      <c r="S171" s="22" t="n">
        <v>494334</v>
      </c>
      <c r="T171" s="22" t="s">
        <v>1296</v>
      </c>
      <c r="U171" s="22" t="n">
        <v>81.483684</v>
      </c>
      <c r="V171" s="22" t="s">
        <v>129</v>
      </c>
      <c r="W171" s="22" t="n">
        <v>2025</v>
      </c>
      <c r="X171" s="22" t="n">
        <v>45940</v>
      </c>
      <c r="Y171" s="22" t="n">
        <v>900</v>
      </c>
      <c r="Z171" s="22" t="n">
        <v>1100</v>
      </c>
      <c r="AA171" s="22" t="s">
        <v>23</v>
      </c>
      <c r="AB171" s="22" t="s">
        <v>1155</v>
      </c>
      <c r="AC171" s="22" t="s">
        <v>1156</v>
      </c>
      <c r="AD171" s="22" t="s">
        <v>1157</v>
      </c>
      <c r="AE171" s="22" t="s">
        <v>1297</v>
      </c>
      <c r="AF171" s="22" t="s">
        <v>1298</v>
      </c>
      <c r="AG171" s="22" t="s">
        <v>1299</v>
      </c>
      <c r="AH171" s="22" t="s">
        <v>136</v>
      </c>
      <c r="AI171" s="22" t="s">
        <v>137</v>
      </c>
      <c r="AJ171" s="22" t="n">
        <v>6</v>
      </c>
      <c r="AK171" s="22" t="n">
        <v>1</v>
      </c>
      <c r="AL171" s="22" t="n">
        <v>0</v>
      </c>
      <c r="AM171" s="22" t="n">
        <f aca="false">AL171+AK171+AJ171</f>
        <v>7</v>
      </c>
      <c r="AN171" s="22" t="n">
        <v>5</v>
      </c>
      <c r="AO171" s="22" t="n">
        <v>0</v>
      </c>
      <c r="AP171" s="22" t="n">
        <f aca="false">AN171+AO171</f>
        <v>5</v>
      </c>
      <c r="AQ171" s="22" t="n">
        <v>1</v>
      </c>
      <c r="AR171" s="22" t="n">
        <v>1</v>
      </c>
      <c r="AS171" s="22" t="n">
        <v>0</v>
      </c>
      <c r="AT171" s="22" t="n">
        <v>0</v>
      </c>
      <c r="AU171" s="22" t="n">
        <v>1</v>
      </c>
      <c r="AV171" s="22" t="n">
        <v>0</v>
      </c>
      <c r="AW171" s="22" t="n">
        <v>0</v>
      </c>
      <c r="AX171" s="22" t="n">
        <v>0</v>
      </c>
      <c r="AY171" s="22" t="s">
        <v>138</v>
      </c>
      <c r="AZ171" s="22" t="s">
        <v>139</v>
      </c>
    </row>
    <row r="172" customFormat="false" ht="14.25" hidden="false" customHeight="false" outlineLevel="0" collapsed="false">
      <c r="B172" s="22" t="n">
        <f aca="false">B171+1</f>
        <v>23</v>
      </c>
      <c r="C172" s="22" t="s">
        <v>1300</v>
      </c>
      <c r="D172" s="22" t="s">
        <v>16</v>
      </c>
      <c r="E172" s="22" t="s">
        <v>21</v>
      </c>
      <c r="F172" s="22" t="n">
        <v>50008064</v>
      </c>
      <c r="G172" s="22" t="s">
        <v>120</v>
      </c>
      <c r="H172" s="22" t="s">
        <v>141</v>
      </c>
      <c r="I172" s="22" t="s">
        <v>122</v>
      </c>
      <c r="J172" s="22" t="s">
        <v>1301</v>
      </c>
      <c r="K172" s="22" t="s">
        <v>1301</v>
      </c>
      <c r="L172" s="22" t="s">
        <v>36</v>
      </c>
      <c r="M172" s="22" t="s">
        <v>124</v>
      </c>
      <c r="N172" s="22" t="s">
        <v>1302</v>
      </c>
      <c r="O172" s="22" t="n">
        <v>15168</v>
      </c>
      <c r="P172" s="22" t="s">
        <v>1303</v>
      </c>
      <c r="Q172" s="22" t="s">
        <v>127</v>
      </c>
      <c r="R172" s="22" t="s">
        <v>1304</v>
      </c>
      <c r="S172" s="22" t="n">
        <v>491335</v>
      </c>
      <c r="T172" s="22" t="n">
        <v>21.706683</v>
      </c>
      <c r="U172" s="22" t="n">
        <v>81.531354</v>
      </c>
      <c r="V172" s="22" t="s">
        <v>129</v>
      </c>
      <c r="W172" s="22" t="n">
        <v>2026</v>
      </c>
      <c r="X172" s="22" t="n">
        <v>46053</v>
      </c>
      <c r="Y172" s="22" t="n">
        <v>1527</v>
      </c>
      <c r="Z172" s="22" t="n">
        <v>1427</v>
      </c>
      <c r="AA172" s="22" t="s">
        <v>23</v>
      </c>
      <c r="AB172" s="22" t="s">
        <v>1155</v>
      </c>
      <c r="AC172" s="22" t="s">
        <v>1156</v>
      </c>
      <c r="AD172" s="22" t="s">
        <v>1157</v>
      </c>
      <c r="AE172" s="22" t="s">
        <v>1305</v>
      </c>
      <c r="AF172" s="22" t="s">
        <v>1306</v>
      </c>
      <c r="AG172" s="22" t="s">
        <v>1307</v>
      </c>
      <c r="AH172" s="22" t="s">
        <v>136</v>
      </c>
      <c r="AI172" s="22" t="s">
        <v>137</v>
      </c>
      <c r="AJ172" s="22" t="n">
        <v>6</v>
      </c>
      <c r="AK172" s="22" t="n">
        <v>1</v>
      </c>
      <c r="AL172" s="22" t="n">
        <v>0</v>
      </c>
      <c r="AM172" s="22" t="n">
        <f aca="false">AL172+AK172+AJ172</f>
        <v>7</v>
      </c>
      <c r="AN172" s="22" t="n">
        <v>4</v>
      </c>
      <c r="AO172" s="22" t="n">
        <v>0</v>
      </c>
      <c r="AP172" s="22" t="n">
        <f aca="false">AN172+AO172</f>
        <v>4</v>
      </c>
      <c r="AQ172" s="22" t="n">
        <v>2</v>
      </c>
      <c r="AR172" s="22" t="n">
        <v>1</v>
      </c>
      <c r="AS172" s="22" t="n">
        <v>0</v>
      </c>
      <c r="AT172" s="22" t="n">
        <v>0</v>
      </c>
      <c r="AU172" s="22" t="n">
        <v>1</v>
      </c>
      <c r="AV172" s="22" t="n">
        <v>0</v>
      </c>
      <c r="AW172" s="22" t="n">
        <v>0</v>
      </c>
      <c r="AX172" s="22" t="n">
        <v>0</v>
      </c>
      <c r="AY172" s="22" t="s">
        <v>138</v>
      </c>
      <c r="AZ172" s="22" t="s">
        <v>139</v>
      </c>
    </row>
    <row r="173" customFormat="false" ht="14.25" hidden="false" customHeight="false" outlineLevel="0" collapsed="false">
      <c r="B173" s="22" t="n">
        <f aca="false">B172+1</f>
        <v>24</v>
      </c>
      <c r="C173" s="22" t="s">
        <v>1308</v>
      </c>
      <c r="D173" s="22" t="s">
        <v>16</v>
      </c>
      <c r="E173" s="22" t="s">
        <v>21</v>
      </c>
      <c r="F173" s="22" t="n">
        <v>50000024</v>
      </c>
      <c r="G173" s="22" t="s">
        <v>120</v>
      </c>
      <c r="H173" s="22" t="s">
        <v>207</v>
      </c>
      <c r="I173" s="22" t="s">
        <v>122</v>
      </c>
      <c r="J173" s="22" t="s">
        <v>1309</v>
      </c>
      <c r="K173" s="22" t="s">
        <v>1309</v>
      </c>
      <c r="L173" s="22" t="s">
        <v>36</v>
      </c>
      <c r="M173" s="22" t="s">
        <v>153</v>
      </c>
      <c r="N173" s="22" t="s">
        <v>1310</v>
      </c>
      <c r="O173" s="22" t="n">
        <v>195</v>
      </c>
      <c r="P173" s="22" t="s">
        <v>1311</v>
      </c>
      <c r="Q173" s="22" t="s">
        <v>127</v>
      </c>
      <c r="R173" s="22" t="s">
        <v>1312</v>
      </c>
      <c r="S173" s="22" t="n">
        <v>497001</v>
      </c>
      <c r="T173" s="22" t="n">
        <v>23.126501</v>
      </c>
      <c r="U173" s="22" t="n">
        <v>83.184517</v>
      </c>
      <c r="V173" s="22" t="s">
        <v>129</v>
      </c>
      <c r="W173" s="22" t="n">
        <v>2016</v>
      </c>
      <c r="X173" s="22" t="n">
        <v>44863</v>
      </c>
      <c r="Y173" s="22" t="n">
        <v>2042</v>
      </c>
      <c r="Z173" s="22" t="n">
        <v>2042</v>
      </c>
      <c r="AA173" s="22" t="s">
        <v>23</v>
      </c>
      <c r="AB173" s="22" t="s">
        <v>1313</v>
      </c>
      <c r="AC173" s="22" t="s">
        <v>1314</v>
      </c>
      <c r="AD173" s="22" t="s">
        <v>1315</v>
      </c>
      <c r="AE173" s="22" t="s">
        <v>1316</v>
      </c>
      <c r="AF173" s="22" t="s">
        <v>1317</v>
      </c>
      <c r="AG173" s="22" t="s">
        <v>1318</v>
      </c>
      <c r="AH173" s="22" t="s">
        <v>136</v>
      </c>
      <c r="AI173" s="22" t="s">
        <v>137</v>
      </c>
      <c r="AJ173" s="22" t="n">
        <v>18</v>
      </c>
      <c r="AK173" s="22" t="n">
        <v>2</v>
      </c>
      <c r="AL173" s="22" t="n">
        <v>0</v>
      </c>
      <c r="AM173" s="22" t="n">
        <f aca="false">AL173+AK173+AJ173</f>
        <v>20</v>
      </c>
      <c r="AN173" s="22" t="n">
        <v>26</v>
      </c>
      <c r="AO173" s="22" t="n">
        <v>9</v>
      </c>
      <c r="AP173" s="22" t="n">
        <f aca="false">AN173+AO173</f>
        <v>35</v>
      </c>
      <c r="AQ173" s="22" t="n">
        <v>2</v>
      </c>
      <c r="AR173" s="22" t="n">
        <v>1</v>
      </c>
      <c r="AS173" s="22" t="n">
        <v>0</v>
      </c>
      <c r="AT173" s="22" t="n">
        <v>0</v>
      </c>
      <c r="AU173" s="22" t="n">
        <v>1</v>
      </c>
      <c r="AV173" s="22" t="n">
        <v>0</v>
      </c>
      <c r="AW173" s="22" t="n">
        <v>0</v>
      </c>
      <c r="AX173" s="22" t="n">
        <v>0</v>
      </c>
      <c r="AY173" s="22" t="s">
        <v>160</v>
      </c>
      <c r="AZ173" s="22" t="s">
        <v>139</v>
      </c>
    </row>
    <row r="174" customFormat="false" ht="14.25" hidden="false" customHeight="false" outlineLevel="0" collapsed="false">
      <c r="B174" s="22" t="n">
        <f aca="false">B173+1</f>
        <v>25</v>
      </c>
      <c r="C174" s="22" t="s">
        <v>1319</v>
      </c>
      <c r="D174" s="22" t="s">
        <v>16</v>
      </c>
      <c r="E174" s="22" t="s">
        <v>21</v>
      </c>
      <c r="F174" s="22" t="n">
        <v>50000111</v>
      </c>
      <c r="G174" s="22" t="s">
        <v>120</v>
      </c>
      <c r="H174" s="22" t="s">
        <v>207</v>
      </c>
      <c r="I174" s="22" t="s">
        <v>122</v>
      </c>
      <c r="J174" s="22" t="s">
        <v>1320</v>
      </c>
      <c r="K174" s="22" t="s">
        <v>1319</v>
      </c>
      <c r="L174" s="22" t="s">
        <v>36</v>
      </c>
      <c r="M174" s="22" t="s">
        <v>153</v>
      </c>
      <c r="N174" s="22" t="s">
        <v>1321</v>
      </c>
      <c r="O174" s="22" t="n">
        <v>301</v>
      </c>
      <c r="P174" s="22" t="n">
        <v>574</v>
      </c>
      <c r="Q174" s="22" t="s">
        <v>146</v>
      </c>
      <c r="R174" s="22" t="s">
        <v>1322</v>
      </c>
      <c r="S174" s="22" t="n">
        <v>495001</v>
      </c>
      <c r="T174" s="22" t="n">
        <v>22.078592</v>
      </c>
      <c r="U174" s="22" t="n">
        <v>82.150486</v>
      </c>
      <c r="V174" s="22" t="s">
        <v>129</v>
      </c>
      <c r="W174" s="22" t="n">
        <v>2014</v>
      </c>
      <c r="X174" s="22" t="n">
        <v>42913</v>
      </c>
      <c r="Y174" s="22" t="n">
        <v>2581</v>
      </c>
      <c r="Z174" s="22" t="n">
        <v>2581</v>
      </c>
      <c r="AA174" s="22" t="s">
        <v>23</v>
      </c>
      <c r="AB174" s="22" t="s">
        <v>1313</v>
      </c>
      <c r="AC174" s="22" t="s">
        <v>1314</v>
      </c>
      <c r="AD174" s="22" t="s">
        <v>1315</v>
      </c>
      <c r="AE174" s="22" t="s">
        <v>1313</v>
      </c>
      <c r="AF174" s="22" t="s">
        <v>1323</v>
      </c>
      <c r="AG174" s="22" t="s">
        <v>1315</v>
      </c>
      <c r="AH174" s="22" t="s">
        <v>397</v>
      </c>
      <c r="AI174" s="22" t="s">
        <v>314</v>
      </c>
      <c r="AJ174" s="22" t="n">
        <v>58</v>
      </c>
      <c r="AK174" s="22" t="n">
        <v>2</v>
      </c>
      <c r="AL174" s="22" t="n">
        <v>0</v>
      </c>
      <c r="AM174" s="22" t="n">
        <f aca="false">AL174+AK174+AJ174</f>
        <v>60</v>
      </c>
      <c r="AN174" s="22" t="n">
        <v>75</v>
      </c>
      <c r="AO174" s="22" t="n">
        <v>60</v>
      </c>
      <c r="AP174" s="22" t="n">
        <f aca="false">AN174+AO174</f>
        <v>135</v>
      </c>
      <c r="AQ174" s="22" t="n">
        <v>1</v>
      </c>
      <c r="AR174" s="22" t="n">
        <v>1</v>
      </c>
      <c r="AS174" s="22" t="n">
        <v>0</v>
      </c>
      <c r="AT174" s="22" t="n">
        <v>0</v>
      </c>
      <c r="AU174" s="22" t="n">
        <v>2</v>
      </c>
      <c r="AV174" s="22" t="n">
        <v>1</v>
      </c>
      <c r="AW174" s="22" t="n">
        <v>1</v>
      </c>
      <c r="AX174" s="22" t="n">
        <v>0</v>
      </c>
      <c r="AY174" s="22" t="s">
        <v>160</v>
      </c>
      <c r="AZ174" s="22" t="s">
        <v>1324</v>
      </c>
    </row>
    <row r="175" customFormat="false" ht="14.25" hidden="false" customHeight="false" outlineLevel="0" collapsed="false">
      <c r="B175" s="22" t="n">
        <f aca="false">B174+1</f>
        <v>26</v>
      </c>
      <c r="C175" s="22" t="s">
        <v>1325</v>
      </c>
      <c r="D175" s="22" t="s">
        <v>16</v>
      </c>
      <c r="E175" s="22" t="s">
        <v>21</v>
      </c>
      <c r="F175" s="22" t="n">
        <v>50000804</v>
      </c>
      <c r="G175" s="22" t="s">
        <v>120</v>
      </c>
      <c r="H175" s="22" t="s">
        <v>152</v>
      </c>
      <c r="I175" s="22" t="s">
        <v>122</v>
      </c>
      <c r="J175" s="22" t="s">
        <v>1326</v>
      </c>
      <c r="K175" s="22" t="s">
        <v>1327</v>
      </c>
      <c r="L175" s="22" t="s">
        <v>36</v>
      </c>
      <c r="M175" s="22" t="s">
        <v>153</v>
      </c>
      <c r="N175" s="22" t="s">
        <v>1328</v>
      </c>
      <c r="O175" s="22" t="n">
        <v>1259</v>
      </c>
      <c r="P175" s="22" t="s">
        <v>1329</v>
      </c>
      <c r="Q175" s="22" t="s">
        <v>146</v>
      </c>
      <c r="R175" s="22" t="s">
        <v>1330</v>
      </c>
      <c r="S175" s="22" t="n">
        <v>495671</v>
      </c>
      <c r="T175" s="22" t="n">
        <v>22.032015</v>
      </c>
      <c r="U175" s="22" t="n">
        <v>82.641581</v>
      </c>
      <c r="V175" s="22" t="s">
        <v>129</v>
      </c>
      <c r="W175" s="22" t="n">
        <v>2016</v>
      </c>
      <c r="X175" s="22" t="n">
        <v>42563</v>
      </c>
      <c r="Y175" s="22" t="n">
        <v>590</v>
      </c>
      <c r="Z175" s="22" t="n">
        <v>590</v>
      </c>
      <c r="AA175" s="22" t="s">
        <v>23</v>
      </c>
      <c r="AB175" s="22" t="s">
        <v>1313</v>
      </c>
      <c r="AC175" s="22" t="s">
        <v>1314</v>
      </c>
      <c r="AD175" s="22" t="s">
        <v>1315</v>
      </c>
      <c r="AE175" s="22" t="s">
        <v>1331</v>
      </c>
      <c r="AF175" s="22" t="s">
        <v>1332</v>
      </c>
      <c r="AG175" s="22" t="s">
        <v>1333</v>
      </c>
      <c r="AH175" s="22" t="s">
        <v>136</v>
      </c>
      <c r="AI175" s="22" t="s">
        <v>137</v>
      </c>
      <c r="AJ175" s="22" t="n">
        <v>8</v>
      </c>
      <c r="AK175" s="22" t="n">
        <v>2</v>
      </c>
      <c r="AL175" s="22" t="n">
        <v>0</v>
      </c>
      <c r="AM175" s="22" t="n">
        <f aca="false">AL175+AK175+AJ175</f>
        <v>10</v>
      </c>
      <c r="AN175" s="22" t="n">
        <v>13</v>
      </c>
      <c r="AO175" s="22" t="n">
        <v>9</v>
      </c>
      <c r="AP175" s="22" t="n">
        <f aca="false">AN175+AO175</f>
        <v>22</v>
      </c>
      <c r="AQ175" s="22" t="n">
        <v>0</v>
      </c>
      <c r="AR175" s="22" t="n">
        <v>0</v>
      </c>
      <c r="AS175" s="22" t="n">
        <v>1</v>
      </c>
      <c r="AT175" s="22" t="n">
        <v>0</v>
      </c>
      <c r="AU175" s="22" t="n">
        <v>1</v>
      </c>
      <c r="AV175" s="22" t="n">
        <v>0</v>
      </c>
      <c r="AW175" s="22" t="n">
        <v>0</v>
      </c>
      <c r="AX175" s="22" t="n">
        <v>0</v>
      </c>
      <c r="AY175" s="22" t="s">
        <v>138</v>
      </c>
      <c r="AZ175" s="22" t="s">
        <v>139</v>
      </c>
    </row>
    <row r="176" customFormat="false" ht="14.25" hidden="false" customHeight="false" outlineLevel="0" collapsed="false">
      <c r="B176" s="22" t="n">
        <f aca="false">B175+1</f>
        <v>27</v>
      </c>
      <c r="C176" s="22" t="s">
        <v>1334</v>
      </c>
      <c r="D176" s="22" t="s">
        <v>16</v>
      </c>
      <c r="E176" s="22" t="s">
        <v>21</v>
      </c>
      <c r="F176" s="22" t="n">
        <v>50001498</v>
      </c>
      <c r="G176" s="22" t="s">
        <v>120</v>
      </c>
      <c r="H176" s="22" t="s">
        <v>121</v>
      </c>
      <c r="I176" s="22" t="s">
        <v>122</v>
      </c>
      <c r="J176" s="22" t="s">
        <v>1334</v>
      </c>
      <c r="K176" s="22" t="s">
        <v>1335</v>
      </c>
      <c r="L176" s="22" t="s">
        <v>36</v>
      </c>
      <c r="M176" s="22" t="s">
        <v>124</v>
      </c>
      <c r="N176" s="22" t="s">
        <v>1336</v>
      </c>
      <c r="O176" s="22" t="n">
        <v>7195</v>
      </c>
      <c r="P176" s="22" t="s">
        <v>1337</v>
      </c>
      <c r="Q176" s="22" t="s">
        <v>127</v>
      </c>
      <c r="R176" s="22" t="s">
        <v>1338</v>
      </c>
      <c r="S176" s="22" t="n">
        <v>496331</v>
      </c>
      <c r="T176" s="22" t="n">
        <v>22.875381</v>
      </c>
      <c r="U176" s="22" t="n">
        <v>84.146681</v>
      </c>
      <c r="V176" s="22" t="s">
        <v>129</v>
      </c>
      <c r="W176" s="22" t="n">
        <v>2019</v>
      </c>
      <c r="X176" s="22" t="n">
        <v>43525</v>
      </c>
      <c r="Y176" s="22" t="n">
        <v>1250</v>
      </c>
      <c r="Z176" s="22" t="n">
        <v>1250</v>
      </c>
      <c r="AA176" s="22" t="s">
        <v>23</v>
      </c>
      <c r="AB176" s="22" t="s">
        <v>1313</v>
      </c>
      <c r="AC176" s="22" t="s">
        <v>1314</v>
      </c>
      <c r="AD176" s="22" t="s">
        <v>1315</v>
      </c>
      <c r="AE176" s="22" t="s">
        <v>1339</v>
      </c>
      <c r="AF176" s="22" t="s">
        <v>1340</v>
      </c>
      <c r="AG176" s="22" t="s">
        <v>1341</v>
      </c>
      <c r="AH176" s="22" t="s">
        <v>136</v>
      </c>
      <c r="AI176" s="22" t="s">
        <v>137</v>
      </c>
      <c r="AJ176" s="22" t="n">
        <v>12</v>
      </c>
      <c r="AK176" s="22" t="n">
        <v>1</v>
      </c>
      <c r="AL176" s="22" t="n">
        <v>2</v>
      </c>
      <c r="AM176" s="22" t="n">
        <f aca="false">AL176+AK176+AJ176</f>
        <v>15</v>
      </c>
      <c r="AN176" s="22" t="n">
        <v>7</v>
      </c>
      <c r="AO176" s="22" t="n">
        <v>9</v>
      </c>
      <c r="AP176" s="22" t="n">
        <f aca="false">AN176+AO176</f>
        <v>16</v>
      </c>
      <c r="AQ176" s="22" t="n">
        <v>0</v>
      </c>
      <c r="AR176" s="22" t="n">
        <v>0</v>
      </c>
      <c r="AS176" s="22" t="n">
        <v>1</v>
      </c>
      <c r="AT176" s="22" t="n">
        <v>0</v>
      </c>
      <c r="AU176" s="22" t="n">
        <v>1</v>
      </c>
      <c r="AV176" s="22" t="n">
        <v>0</v>
      </c>
      <c r="AW176" s="22" t="n">
        <v>0</v>
      </c>
      <c r="AX176" s="22" t="n">
        <v>0</v>
      </c>
      <c r="AY176" s="22" t="s">
        <v>138</v>
      </c>
      <c r="AZ176" s="22" t="s">
        <v>139</v>
      </c>
    </row>
    <row r="177" customFormat="false" ht="14.25" hidden="false" customHeight="false" outlineLevel="0" collapsed="false">
      <c r="B177" s="22" t="n">
        <f aca="false">B176+1</f>
        <v>28</v>
      </c>
      <c r="C177" s="22" t="s">
        <v>1342</v>
      </c>
      <c r="D177" s="22" t="s">
        <v>16</v>
      </c>
      <c r="E177" s="22" t="s">
        <v>21</v>
      </c>
      <c r="F177" s="22" t="n">
        <v>50001500</v>
      </c>
      <c r="G177" s="22" t="s">
        <v>120</v>
      </c>
      <c r="H177" s="22" t="s">
        <v>121</v>
      </c>
      <c r="I177" s="22" t="s">
        <v>658</v>
      </c>
      <c r="J177" s="22" t="s">
        <v>1326</v>
      </c>
      <c r="K177" s="22" t="s">
        <v>1326</v>
      </c>
      <c r="L177" s="22" t="s">
        <v>36</v>
      </c>
      <c r="M177" s="22" t="s">
        <v>124</v>
      </c>
      <c r="N177" s="22" t="s">
        <v>1343</v>
      </c>
      <c r="O177" s="22" t="n">
        <v>7197</v>
      </c>
      <c r="P177" s="22" t="s">
        <v>1344</v>
      </c>
      <c r="Q177" s="22" t="s">
        <v>146</v>
      </c>
      <c r="R177" s="22" t="s">
        <v>1345</v>
      </c>
      <c r="S177" s="22" t="n">
        <v>495445</v>
      </c>
      <c r="T177" s="22" t="n">
        <v>22.502329</v>
      </c>
      <c r="U177" s="22" t="n">
        <v>82.544525</v>
      </c>
      <c r="V177" s="22" t="s">
        <v>129</v>
      </c>
      <c r="W177" s="22" t="n">
        <v>2019</v>
      </c>
      <c r="X177" s="22" t="n">
        <v>43556</v>
      </c>
      <c r="Y177" s="22" t="n">
        <v>1300</v>
      </c>
      <c r="Z177" s="22" t="n">
        <v>1300</v>
      </c>
      <c r="AA177" s="22" t="s">
        <v>23</v>
      </c>
      <c r="AB177" s="22" t="s">
        <v>1313</v>
      </c>
      <c r="AC177" s="22" t="s">
        <v>1314</v>
      </c>
      <c r="AD177" s="22" t="s">
        <v>1315</v>
      </c>
      <c r="AE177" s="22" t="s">
        <v>1346</v>
      </c>
      <c r="AF177" s="22" t="s">
        <v>1347</v>
      </c>
      <c r="AG177" s="22" t="s">
        <v>1348</v>
      </c>
      <c r="AH177" s="22" t="s">
        <v>136</v>
      </c>
      <c r="AI177" s="22" t="s">
        <v>137</v>
      </c>
      <c r="AJ177" s="22" t="n">
        <v>12</v>
      </c>
      <c r="AK177" s="22" t="n">
        <v>1</v>
      </c>
      <c r="AL177" s="22" t="n">
        <v>2</v>
      </c>
      <c r="AM177" s="22" t="n">
        <f aca="false">AL177+AK177+AJ177</f>
        <v>15</v>
      </c>
      <c r="AN177" s="22" t="n">
        <v>14</v>
      </c>
      <c r="AO177" s="22" t="n">
        <v>9</v>
      </c>
      <c r="AP177" s="22" t="n">
        <f aca="false">AN177+AO177</f>
        <v>23</v>
      </c>
      <c r="AQ177" s="22" t="n">
        <v>1</v>
      </c>
      <c r="AR177" s="22" t="n">
        <v>1</v>
      </c>
      <c r="AS177" s="22" t="n">
        <v>0</v>
      </c>
      <c r="AT177" s="22" t="n">
        <v>0</v>
      </c>
      <c r="AU177" s="22" t="n">
        <v>1</v>
      </c>
      <c r="AV177" s="22" t="n">
        <v>0</v>
      </c>
      <c r="AW177" s="22" t="n">
        <v>0</v>
      </c>
      <c r="AX177" s="22" t="n">
        <v>0</v>
      </c>
      <c r="AY177" s="22" t="s">
        <v>138</v>
      </c>
      <c r="AZ177" s="22" t="s">
        <v>139</v>
      </c>
    </row>
    <row r="178" customFormat="false" ht="14.25" hidden="false" customHeight="false" outlineLevel="0" collapsed="false">
      <c r="B178" s="22" t="n">
        <f aca="false">B177+1</f>
        <v>29</v>
      </c>
      <c r="C178" s="22" t="s">
        <v>1326</v>
      </c>
      <c r="D178" s="22" t="s">
        <v>16</v>
      </c>
      <c r="E178" s="22" t="s">
        <v>21</v>
      </c>
      <c r="F178" s="22" t="n">
        <v>50000381</v>
      </c>
      <c r="G178" s="22" t="s">
        <v>120</v>
      </c>
      <c r="H178" s="22" t="s">
        <v>207</v>
      </c>
      <c r="I178" s="22" t="s">
        <v>122</v>
      </c>
      <c r="J178" s="22" t="s">
        <v>1326</v>
      </c>
      <c r="K178" s="22" t="s">
        <v>1326</v>
      </c>
      <c r="L178" s="22" t="s">
        <v>36</v>
      </c>
      <c r="M178" s="22" t="s">
        <v>153</v>
      </c>
      <c r="N178" s="22" t="s">
        <v>1349</v>
      </c>
      <c r="O178" s="22" t="n">
        <v>86</v>
      </c>
      <c r="P178" s="22" t="n">
        <v>486</v>
      </c>
      <c r="Q178" s="22" t="s">
        <v>127</v>
      </c>
      <c r="R178" s="22" t="s">
        <v>1350</v>
      </c>
      <c r="S178" s="22" t="n">
        <v>495677</v>
      </c>
      <c r="T178" s="22" t="n">
        <v>22.359704</v>
      </c>
      <c r="U178" s="22" t="n">
        <v>82.708343</v>
      </c>
      <c r="V178" s="22" t="s">
        <v>129</v>
      </c>
      <c r="W178" s="22" t="n">
        <v>2014</v>
      </c>
      <c r="X178" s="22" t="n">
        <v>45077</v>
      </c>
      <c r="Y178" s="22" t="n">
        <v>2248</v>
      </c>
      <c r="Z178" s="22" t="n">
        <v>2248</v>
      </c>
      <c r="AA178" s="22" t="s">
        <v>23</v>
      </c>
      <c r="AB178" s="22" t="s">
        <v>1313</v>
      </c>
      <c r="AC178" s="22" t="s">
        <v>1314</v>
      </c>
      <c r="AD178" s="22" t="s">
        <v>1315</v>
      </c>
      <c r="AE178" s="22" t="s">
        <v>1351</v>
      </c>
      <c r="AF178" s="22" t="s">
        <v>1352</v>
      </c>
      <c r="AG178" s="22" t="s">
        <v>1353</v>
      </c>
      <c r="AH178" s="22" t="s">
        <v>136</v>
      </c>
      <c r="AI178" s="22" t="s">
        <v>314</v>
      </c>
      <c r="AJ178" s="22" t="n">
        <v>34</v>
      </c>
      <c r="AK178" s="22" t="n">
        <v>2</v>
      </c>
      <c r="AL178" s="22" t="n">
        <v>0</v>
      </c>
      <c r="AM178" s="22" t="n">
        <f aca="false">AL178+AK178+AJ178</f>
        <v>36</v>
      </c>
      <c r="AN178" s="22" t="n">
        <v>34</v>
      </c>
      <c r="AO178" s="22" t="n">
        <v>25</v>
      </c>
      <c r="AP178" s="22" t="n">
        <f aca="false">AN178+AO178</f>
        <v>59</v>
      </c>
      <c r="AQ178" s="22" t="n">
        <v>1</v>
      </c>
      <c r="AR178" s="22" t="n">
        <v>1</v>
      </c>
      <c r="AS178" s="22" t="n">
        <v>0</v>
      </c>
      <c r="AT178" s="22" t="n">
        <v>0</v>
      </c>
      <c r="AU178" s="22" t="n">
        <v>1</v>
      </c>
      <c r="AV178" s="22" t="n">
        <v>0</v>
      </c>
      <c r="AW178" s="22" t="n">
        <v>0</v>
      </c>
      <c r="AX178" s="22" t="n">
        <v>0</v>
      </c>
      <c r="AY178" s="22" t="s">
        <v>160</v>
      </c>
      <c r="AZ178" s="22" t="s">
        <v>139</v>
      </c>
    </row>
    <row r="179" customFormat="false" ht="14.25" hidden="false" customHeight="false" outlineLevel="0" collapsed="false">
      <c r="B179" s="22" t="n">
        <f aca="false">B178+1</f>
        <v>30</v>
      </c>
      <c r="C179" s="22" t="s">
        <v>1354</v>
      </c>
      <c r="D179" s="22" t="s">
        <v>16</v>
      </c>
      <c r="E179" s="22" t="s">
        <v>21</v>
      </c>
      <c r="F179" s="22" t="n">
        <v>50001029</v>
      </c>
      <c r="G179" s="22" t="s">
        <v>120</v>
      </c>
      <c r="H179" s="22" t="s">
        <v>121</v>
      </c>
      <c r="I179" s="22" t="s">
        <v>658</v>
      </c>
      <c r="J179" s="22" t="s">
        <v>1355</v>
      </c>
      <c r="K179" s="22" t="s">
        <v>1356</v>
      </c>
      <c r="L179" s="22" t="s">
        <v>36</v>
      </c>
      <c r="M179" s="22" t="s">
        <v>124</v>
      </c>
      <c r="N179" s="22" t="s">
        <v>1357</v>
      </c>
      <c r="O179" s="22" t="n">
        <v>4310</v>
      </c>
      <c r="P179" s="22" t="s">
        <v>1358</v>
      </c>
      <c r="Q179" s="22" t="s">
        <v>127</v>
      </c>
      <c r="R179" s="22" t="s">
        <v>1359</v>
      </c>
      <c r="S179" s="22" t="n">
        <v>497442</v>
      </c>
      <c r="T179" s="22" t="n">
        <v>23.216221</v>
      </c>
      <c r="U179" s="22" t="n">
        <v>82.200679</v>
      </c>
      <c r="V179" s="22" t="s">
        <v>129</v>
      </c>
      <c r="W179" s="22" t="n">
        <v>2017</v>
      </c>
      <c r="X179" s="22" t="n">
        <v>43009</v>
      </c>
      <c r="Y179" s="22" t="n">
        <v>1560</v>
      </c>
      <c r="Z179" s="22" t="n">
        <v>1560</v>
      </c>
      <c r="AA179" s="22" t="s">
        <v>23</v>
      </c>
      <c r="AB179" s="22" t="s">
        <v>1313</v>
      </c>
      <c r="AC179" s="22" t="s">
        <v>1314</v>
      </c>
      <c r="AD179" s="22" t="s">
        <v>1315</v>
      </c>
      <c r="AE179" s="22" t="s">
        <v>1360</v>
      </c>
      <c r="AF179" s="22" t="s">
        <v>1361</v>
      </c>
      <c r="AG179" s="22" t="s">
        <v>1362</v>
      </c>
      <c r="AH179" s="22" t="s">
        <v>136</v>
      </c>
      <c r="AI179" s="22" t="s">
        <v>137</v>
      </c>
      <c r="AJ179" s="22" t="n">
        <v>12</v>
      </c>
      <c r="AK179" s="22" t="n">
        <v>1</v>
      </c>
      <c r="AL179" s="22" t="n">
        <v>2</v>
      </c>
      <c r="AM179" s="22" t="n">
        <f aca="false">AL179+AK179+AJ179</f>
        <v>15</v>
      </c>
      <c r="AN179" s="22" t="n">
        <v>18</v>
      </c>
      <c r="AO179" s="22" t="n">
        <v>9</v>
      </c>
      <c r="AP179" s="22" t="n">
        <f aca="false">AN179+AO179</f>
        <v>27</v>
      </c>
      <c r="AQ179" s="22" t="n">
        <v>0</v>
      </c>
      <c r="AR179" s="22" t="n">
        <v>0</v>
      </c>
      <c r="AS179" s="22" t="n">
        <v>1</v>
      </c>
      <c r="AT179" s="22" t="n">
        <v>0</v>
      </c>
      <c r="AU179" s="22" t="n">
        <v>1</v>
      </c>
      <c r="AV179" s="22" t="n">
        <v>0</v>
      </c>
      <c r="AW179" s="22" t="n">
        <v>0</v>
      </c>
      <c r="AX179" s="22" t="n">
        <v>0</v>
      </c>
      <c r="AY179" s="22" t="s">
        <v>138</v>
      </c>
      <c r="AZ179" s="22" t="s">
        <v>139</v>
      </c>
    </row>
    <row r="180" customFormat="false" ht="14.25" hidden="false" customHeight="false" outlineLevel="0" collapsed="false">
      <c r="B180" s="22" t="n">
        <f aca="false">B179+1</f>
        <v>31</v>
      </c>
      <c r="C180" s="22" t="s">
        <v>1363</v>
      </c>
      <c r="D180" s="22" t="s">
        <v>16</v>
      </c>
      <c r="E180" s="22" t="s">
        <v>21</v>
      </c>
      <c r="F180" s="22" t="n">
        <v>50005306</v>
      </c>
      <c r="G180" s="22" t="s">
        <v>120</v>
      </c>
      <c r="H180" s="22" t="s">
        <v>141</v>
      </c>
      <c r="I180" s="22" t="s">
        <v>122</v>
      </c>
      <c r="J180" s="22" t="s">
        <v>1364</v>
      </c>
      <c r="K180" s="22" t="s">
        <v>1327</v>
      </c>
      <c r="L180" s="22" t="s">
        <v>36</v>
      </c>
      <c r="M180" s="22" t="s">
        <v>124</v>
      </c>
      <c r="N180" s="22" t="s">
        <v>1365</v>
      </c>
      <c r="O180" s="22" t="n">
        <v>12356</v>
      </c>
      <c r="P180" s="22" t="s">
        <v>1366</v>
      </c>
      <c r="Q180" s="22" t="s">
        <v>127</v>
      </c>
      <c r="R180" s="22" t="s">
        <v>1367</v>
      </c>
      <c r="S180" s="22" t="n">
        <v>495554</v>
      </c>
      <c r="T180" s="22" t="n">
        <v>21.870286</v>
      </c>
      <c r="U180" s="22" t="n">
        <v>82.448702</v>
      </c>
      <c r="V180" s="22" t="s">
        <v>129</v>
      </c>
      <c r="W180" s="22" t="n">
        <v>2023</v>
      </c>
      <c r="X180" s="22" t="n">
        <v>45209</v>
      </c>
      <c r="Y180" s="22" t="n">
        <v>950</v>
      </c>
      <c r="Z180" s="22" t="n">
        <v>950</v>
      </c>
      <c r="AA180" s="22" t="s">
        <v>23</v>
      </c>
      <c r="AB180" s="22" t="s">
        <v>1313</v>
      </c>
      <c r="AC180" s="22" t="s">
        <v>1314</v>
      </c>
      <c r="AD180" s="22" t="s">
        <v>1315</v>
      </c>
      <c r="AE180" s="22" t="s">
        <v>1368</v>
      </c>
      <c r="AF180" s="22" t="s">
        <v>1369</v>
      </c>
      <c r="AG180" s="22" t="s">
        <v>1370</v>
      </c>
      <c r="AH180" s="22" t="s">
        <v>136</v>
      </c>
      <c r="AI180" s="22" t="s">
        <v>137</v>
      </c>
      <c r="AJ180" s="22" t="n">
        <v>6</v>
      </c>
      <c r="AK180" s="22" t="n">
        <v>1</v>
      </c>
      <c r="AL180" s="22" t="n">
        <v>0</v>
      </c>
      <c r="AM180" s="22" t="n">
        <f aca="false">AL180+AK180+AJ180</f>
        <v>7</v>
      </c>
      <c r="AN180" s="22" t="n">
        <v>3</v>
      </c>
      <c r="AO180" s="22" t="n">
        <v>3</v>
      </c>
      <c r="AP180" s="22" t="n">
        <f aca="false">AN180+AO180</f>
        <v>6</v>
      </c>
      <c r="AQ180" s="22" t="n">
        <v>1</v>
      </c>
      <c r="AR180" s="22" t="n">
        <v>1</v>
      </c>
      <c r="AS180" s="22" t="n">
        <v>0</v>
      </c>
      <c r="AT180" s="22" t="n">
        <v>0</v>
      </c>
      <c r="AU180" s="22" t="n">
        <v>1</v>
      </c>
      <c r="AV180" s="22" t="n">
        <v>0</v>
      </c>
      <c r="AW180" s="22" t="n">
        <v>0</v>
      </c>
      <c r="AX180" s="22" t="n">
        <v>0</v>
      </c>
      <c r="AY180" s="22" t="s">
        <v>138</v>
      </c>
      <c r="AZ180" s="22" t="s">
        <v>139</v>
      </c>
    </row>
    <row r="181" customFormat="false" ht="14.25" hidden="false" customHeight="false" outlineLevel="0" collapsed="false">
      <c r="B181" s="22" t="n">
        <f aca="false">B180+1</f>
        <v>32</v>
      </c>
      <c r="C181" s="22" t="s">
        <v>1371</v>
      </c>
      <c r="D181" s="22" t="s">
        <v>16</v>
      </c>
      <c r="E181" s="22" t="s">
        <v>21</v>
      </c>
      <c r="F181" s="22" t="n">
        <v>50001501</v>
      </c>
      <c r="G181" s="22" t="s">
        <v>120</v>
      </c>
      <c r="H181" s="22" t="s">
        <v>121</v>
      </c>
      <c r="I181" s="22" t="s">
        <v>122</v>
      </c>
      <c r="J181" s="22" t="s">
        <v>1335</v>
      </c>
      <c r="K181" s="22" t="s">
        <v>1335</v>
      </c>
      <c r="L181" s="22" t="s">
        <v>36</v>
      </c>
      <c r="M181" s="22" t="s">
        <v>124</v>
      </c>
      <c r="N181" s="22" t="s">
        <v>1372</v>
      </c>
      <c r="O181" s="22" t="n">
        <v>7200</v>
      </c>
      <c r="P181" s="22" t="s">
        <v>1373</v>
      </c>
      <c r="Q181" s="22" t="s">
        <v>127</v>
      </c>
      <c r="R181" s="22" t="s">
        <v>1374</v>
      </c>
      <c r="S181" s="22" t="n">
        <v>496118</v>
      </c>
      <c r="T181" s="22" t="n">
        <v>22.560667</v>
      </c>
      <c r="U181" s="22" t="n">
        <v>83.458024</v>
      </c>
      <c r="V181" s="22" t="s">
        <v>129</v>
      </c>
      <c r="W181" s="22" t="n">
        <v>2019</v>
      </c>
      <c r="X181" s="22" t="n">
        <v>43556</v>
      </c>
      <c r="Y181" s="22" t="n">
        <v>1300</v>
      </c>
      <c r="Z181" s="22" t="n">
        <v>1300</v>
      </c>
      <c r="AA181" s="22" t="s">
        <v>23</v>
      </c>
      <c r="AB181" s="22" t="s">
        <v>1313</v>
      </c>
      <c r="AC181" s="22" t="s">
        <v>1314</v>
      </c>
      <c r="AD181" s="22" t="s">
        <v>1315</v>
      </c>
      <c r="AE181" s="22" t="s">
        <v>1375</v>
      </c>
      <c r="AF181" s="22" t="s">
        <v>1376</v>
      </c>
      <c r="AG181" s="22" t="s">
        <v>1377</v>
      </c>
      <c r="AH181" s="22" t="s">
        <v>136</v>
      </c>
      <c r="AI181" s="22" t="s">
        <v>137</v>
      </c>
      <c r="AJ181" s="22" t="n">
        <v>12</v>
      </c>
      <c r="AK181" s="22" t="n">
        <v>1</v>
      </c>
      <c r="AL181" s="22" t="n">
        <v>2</v>
      </c>
      <c r="AM181" s="22" t="n">
        <f aca="false">AL181+AK181+AJ181</f>
        <v>15</v>
      </c>
      <c r="AN181" s="22" t="n">
        <v>10</v>
      </c>
      <c r="AO181" s="22" t="n">
        <v>6</v>
      </c>
      <c r="AP181" s="22" t="n">
        <f aca="false">AN181+AO181</f>
        <v>16</v>
      </c>
      <c r="AQ181" s="22" t="n">
        <v>0</v>
      </c>
      <c r="AR181" s="22" t="n">
        <v>0</v>
      </c>
      <c r="AS181" s="22" t="n">
        <v>1</v>
      </c>
      <c r="AT181" s="22" t="n">
        <v>0</v>
      </c>
      <c r="AU181" s="22" t="n">
        <v>1</v>
      </c>
      <c r="AV181" s="22" t="n">
        <v>0</v>
      </c>
      <c r="AW181" s="22" t="n">
        <v>0</v>
      </c>
      <c r="AX181" s="22" t="n">
        <v>0</v>
      </c>
      <c r="AY181" s="22" t="s">
        <v>138</v>
      </c>
      <c r="AZ181" s="22" t="s">
        <v>139</v>
      </c>
    </row>
    <row r="182" customFormat="false" ht="14.25" hidden="false" customHeight="false" outlineLevel="0" collapsed="false">
      <c r="B182" s="22" t="n">
        <f aca="false">B181+1</f>
        <v>33</v>
      </c>
      <c r="C182" s="22" t="s">
        <v>1378</v>
      </c>
      <c r="D182" s="22" t="s">
        <v>16</v>
      </c>
      <c r="E182" s="22" t="s">
        <v>21</v>
      </c>
      <c r="F182" s="22" t="n">
        <v>50001379</v>
      </c>
      <c r="G182" s="22" t="s">
        <v>120</v>
      </c>
      <c r="H182" s="22" t="s">
        <v>121</v>
      </c>
      <c r="I182" s="22" t="s">
        <v>122</v>
      </c>
      <c r="J182" s="22" t="s">
        <v>1320</v>
      </c>
      <c r="K182" s="22" t="s">
        <v>1379</v>
      </c>
      <c r="L182" s="22" t="s">
        <v>36</v>
      </c>
      <c r="M182" s="22" t="s">
        <v>124</v>
      </c>
      <c r="N182" s="22" t="s">
        <v>1380</v>
      </c>
      <c r="O182" s="22" t="n">
        <v>6975</v>
      </c>
      <c r="P182" s="22" t="s">
        <v>1381</v>
      </c>
      <c r="Q182" s="22" t="s">
        <v>127</v>
      </c>
      <c r="R182" s="22" t="s">
        <v>1382</v>
      </c>
      <c r="S182" s="22" t="n">
        <v>495119</v>
      </c>
      <c r="T182" s="22" t="n">
        <v>22.773638</v>
      </c>
      <c r="U182" s="22" t="n">
        <v>81.963885</v>
      </c>
      <c r="V182" s="22" t="s">
        <v>129</v>
      </c>
      <c r="W182" s="22" t="n">
        <v>2018</v>
      </c>
      <c r="X182" s="22" t="n">
        <v>43405</v>
      </c>
      <c r="Y182" s="22" t="n">
        <v>1369</v>
      </c>
      <c r="Z182" s="22" t="n">
        <v>1369</v>
      </c>
      <c r="AA182" s="22" t="s">
        <v>23</v>
      </c>
      <c r="AB182" s="22" t="s">
        <v>1313</v>
      </c>
      <c r="AC182" s="22" t="s">
        <v>1314</v>
      </c>
      <c r="AD182" s="22" t="s">
        <v>1315</v>
      </c>
      <c r="AE182" s="22" t="s">
        <v>1383</v>
      </c>
      <c r="AF182" s="22" t="s">
        <v>1384</v>
      </c>
      <c r="AG182" s="22" t="s">
        <v>1385</v>
      </c>
      <c r="AH182" s="22" t="s">
        <v>136</v>
      </c>
      <c r="AI182" s="22" t="s">
        <v>137</v>
      </c>
      <c r="AJ182" s="22" t="n">
        <v>12</v>
      </c>
      <c r="AK182" s="22" t="n">
        <v>1</v>
      </c>
      <c r="AL182" s="22" t="n">
        <v>2</v>
      </c>
      <c r="AM182" s="22" t="n">
        <f aca="false">AL182+AK182+AJ182</f>
        <v>15</v>
      </c>
      <c r="AN182" s="22" t="n">
        <v>10</v>
      </c>
      <c r="AO182" s="22" t="n">
        <v>6</v>
      </c>
      <c r="AP182" s="22" t="n">
        <f aca="false">AN182+AO182</f>
        <v>16</v>
      </c>
      <c r="AQ182" s="22" t="n">
        <v>1</v>
      </c>
      <c r="AR182" s="22" t="n">
        <v>1</v>
      </c>
      <c r="AS182" s="22" t="n">
        <v>0</v>
      </c>
      <c r="AT182" s="22" t="n">
        <v>0</v>
      </c>
      <c r="AU182" s="22" t="n">
        <v>1</v>
      </c>
      <c r="AV182" s="22" t="n">
        <v>0</v>
      </c>
      <c r="AW182" s="22" t="n">
        <v>0</v>
      </c>
      <c r="AX182" s="22" t="n">
        <v>0</v>
      </c>
      <c r="AY182" s="22" t="s">
        <v>138</v>
      </c>
      <c r="AZ182" s="22" t="s">
        <v>139</v>
      </c>
    </row>
    <row r="183" customFormat="false" ht="14.25" hidden="false" customHeight="false" outlineLevel="0" collapsed="false">
      <c r="B183" s="22" t="n">
        <f aca="false">B182+1</f>
        <v>34</v>
      </c>
      <c r="C183" s="22" t="s">
        <v>1386</v>
      </c>
      <c r="D183" s="22" t="s">
        <v>16</v>
      </c>
      <c r="E183" s="22" t="s">
        <v>21</v>
      </c>
      <c r="F183" s="22" t="n">
        <v>50000822</v>
      </c>
      <c r="G183" s="22" t="s">
        <v>120</v>
      </c>
      <c r="H183" s="22" t="s">
        <v>121</v>
      </c>
      <c r="I183" s="22" t="s">
        <v>122</v>
      </c>
      <c r="J183" s="22" t="s">
        <v>1386</v>
      </c>
      <c r="K183" s="22" t="s">
        <v>1386</v>
      </c>
      <c r="L183" s="22" t="s">
        <v>36</v>
      </c>
      <c r="M183" s="22" t="s">
        <v>124</v>
      </c>
      <c r="N183" s="22" t="s">
        <v>1387</v>
      </c>
      <c r="O183" s="22" t="n">
        <v>224</v>
      </c>
      <c r="P183" s="22" t="s">
        <v>1388</v>
      </c>
      <c r="Q183" s="22" t="s">
        <v>127</v>
      </c>
      <c r="R183" s="22" t="s">
        <v>1389</v>
      </c>
      <c r="S183" s="22" t="n">
        <v>496001</v>
      </c>
      <c r="T183" s="22" t="n">
        <v>21.9051</v>
      </c>
      <c r="U183" s="22" t="n">
        <v>83.39217</v>
      </c>
      <c r="V183" s="22" t="s">
        <v>129</v>
      </c>
      <c r="W183" s="22" t="n">
        <v>2017</v>
      </c>
      <c r="X183" s="22" t="n">
        <v>42736</v>
      </c>
      <c r="Y183" s="22" t="n">
        <v>1050</v>
      </c>
      <c r="Z183" s="22" t="n">
        <v>1050</v>
      </c>
      <c r="AA183" s="22" t="s">
        <v>23</v>
      </c>
      <c r="AB183" s="22" t="s">
        <v>1313</v>
      </c>
      <c r="AC183" s="22" t="s">
        <v>1314</v>
      </c>
      <c r="AD183" s="22" t="s">
        <v>1315</v>
      </c>
      <c r="AE183" s="22" t="s">
        <v>196</v>
      </c>
      <c r="AF183" s="22" t="s">
        <v>1390</v>
      </c>
      <c r="AG183" s="22" t="s">
        <v>1391</v>
      </c>
      <c r="AH183" s="22" t="s">
        <v>230</v>
      </c>
      <c r="AI183" s="22" t="s">
        <v>137</v>
      </c>
      <c r="AJ183" s="22" t="n">
        <v>10</v>
      </c>
      <c r="AK183" s="22" t="n">
        <v>1</v>
      </c>
      <c r="AL183" s="22" t="n">
        <v>2</v>
      </c>
      <c r="AM183" s="22" t="n">
        <f aca="false">AL183+AK183+AJ183</f>
        <v>13</v>
      </c>
      <c r="AN183" s="22" t="n">
        <v>20</v>
      </c>
      <c r="AO183" s="22" t="n">
        <v>3</v>
      </c>
      <c r="AP183" s="22" t="n">
        <f aca="false">AN183+AO183</f>
        <v>23</v>
      </c>
      <c r="AQ183" s="22" t="n">
        <v>0</v>
      </c>
      <c r="AR183" s="22" t="n">
        <v>0</v>
      </c>
      <c r="AS183" s="22" t="n">
        <v>1</v>
      </c>
      <c r="AT183" s="22" t="n">
        <v>1</v>
      </c>
      <c r="AU183" s="22" t="n">
        <v>1</v>
      </c>
      <c r="AV183" s="22" t="n">
        <v>0</v>
      </c>
      <c r="AW183" s="22" t="n">
        <v>0</v>
      </c>
      <c r="AX183" s="22" t="n">
        <v>0</v>
      </c>
      <c r="AY183" s="22" t="s">
        <v>160</v>
      </c>
      <c r="AZ183" s="22" t="s">
        <v>139</v>
      </c>
    </row>
    <row r="184" customFormat="false" ht="14.25" hidden="false" customHeight="false" outlineLevel="0" collapsed="false">
      <c r="B184" s="22" t="n">
        <f aca="false">B183+1</f>
        <v>35</v>
      </c>
      <c r="C184" s="22" t="s">
        <v>1392</v>
      </c>
      <c r="D184" s="22" t="s">
        <v>16</v>
      </c>
      <c r="E184" s="22" t="s">
        <v>21</v>
      </c>
      <c r="F184" s="22" t="n">
        <v>50007163</v>
      </c>
      <c r="G184" s="22" t="s">
        <v>162</v>
      </c>
      <c r="H184" s="22" t="s">
        <v>163</v>
      </c>
      <c r="I184" s="22" t="s">
        <v>122</v>
      </c>
      <c r="J184" s="22" t="s">
        <v>1386</v>
      </c>
      <c r="K184" s="22" t="s">
        <v>1386</v>
      </c>
      <c r="L184" s="22" t="s">
        <v>36</v>
      </c>
      <c r="M184" s="22" t="s">
        <v>124</v>
      </c>
      <c r="N184" s="22" t="s">
        <v>1387</v>
      </c>
      <c r="O184" s="22" t="n">
        <v>224</v>
      </c>
      <c r="P184" s="22" t="s">
        <v>1393</v>
      </c>
      <c r="Q184" s="22" t="s">
        <v>127</v>
      </c>
      <c r="R184" s="22" t="s">
        <v>1394</v>
      </c>
      <c r="S184" s="22" t="n">
        <v>496001</v>
      </c>
      <c r="T184" s="22" t="n">
        <v>21.90541</v>
      </c>
      <c r="U184" s="22" t="n">
        <v>83.39137</v>
      </c>
      <c r="V184" s="22" t="s">
        <v>129</v>
      </c>
      <c r="W184" s="22" t="n">
        <v>2017</v>
      </c>
      <c r="X184" s="22" t="n">
        <v>44774</v>
      </c>
      <c r="Y184" s="22" t="n">
        <v>1158</v>
      </c>
      <c r="Z184" s="22" t="n">
        <v>1158</v>
      </c>
      <c r="AA184" s="22" t="s">
        <v>23</v>
      </c>
      <c r="AB184" s="22" t="s">
        <v>1313</v>
      </c>
      <c r="AC184" s="22" t="s">
        <v>1314</v>
      </c>
      <c r="AD184" s="22" t="s">
        <v>1315</v>
      </c>
      <c r="AE184" s="22" t="s">
        <v>196</v>
      </c>
      <c r="AF184" s="22" t="s">
        <v>1390</v>
      </c>
      <c r="AG184" s="22" t="s">
        <v>1391</v>
      </c>
      <c r="AH184" s="22" t="s">
        <v>230</v>
      </c>
      <c r="AI184" s="22" t="s">
        <v>314</v>
      </c>
      <c r="AJ184" s="22" t="n">
        <v>30</v>
      </c>
      <c r="AK184" s="22" t="n">
        <v>0</v>
      </c>
      <c r="AL184" s="22" t="n">
        <v>0</v>
      </c>
      <c r="AM184" s="22" t="n">
        <f aca="false">AL184+AK184+AJ184</f>
        <v>30</v>
      </c>
      <c r="AN184" s="22" t="n">
        <v>19</v>
      </c>
      <c r="AO184" s="22" t="n">
        <v>3</v>
      </c>
      <c r="AP184" s="22" t="n">
        <f aca="false">AN184+AO184</f>
        <v>22</v>
      </c>
      <c r="AQ184" s="22" t="n">
        <v>1</v>
      </c>
      <c r="AR184" s="22" t="n">
        <v>1</v>
      </c>
      <c r="AS184" s="22" t="n">
        <v>0</v>
      </c>
      <c r="AT184" s="22" t="n">
        <v>0</v>
      </c>
      <c r="AU184" s="22" t="n">
        <v>1</v>
      </c>
      <c r="AV184" s="22" t="n">
        <v>0</v>
      </c>
      <c r="AW184" s="22" t="n">
        <v>0</v>
      </c>
      <c r="AX184" s="22" t="n">
        <v>0</v>
      </c>
      <c r="AY184" s="22" t="s">
        <v>160</v>
      </c>
      <c r="AZ184" s="22" t="s">
        <v>139</v>
      </c>
    </row>
    <row r="185" customFormat="false" ht="14.25" hidden="false" customHeight="false" outlineLevel="0" collapsed="false">
      <c r="B185" s="22" t="n">
        <f aca="false">B184+1</f>
        <v>36</v>
      </c>
      <c r="C185" s="22" t="s">
        <v>1395</v>
      </c>
      <c r="D185" s="22" t="s">
        <v>16</v>
      </c>
      <c r="E185" s="22" t="s">
        <v>21</v>
      </c>
      <c r="F185" s="22" t="n">
        <v>50004086</v>
      </c>
      <c r="G185" s="22" t="s">
        <v>120</v>
      </c>
      <c r="H185" s="22" t="s">
        <v>121</v>
      </c>
      <c r="I185" s="22" t="s">
        <v>122</v>
      </c>
      <c r="J185" s="22" t="s">
        <v>1308</v>
      </c>
      <c r="K185" s="22" t="s">
        <v>1396</v>
      </c>
      <c r="L185" s="22" t="s">
        <v>36</v>
      </c>
      <c r="M185" s="22" t="s">
        <v>124</v>
      </c>
      <c r="N185" s="22" t="s">
        <v>1397</v>
      </c>
      <c r="O185" s="22" t="n">
        <v>11854</v>
      </c>
      <c r="P185" s="22" t="s">
        <v>1398</v>
      </c>
      <c r="Q185" s="22" t="s">
        <v>146</v>
      </c>
      <c r="R185" s="22" t="s">
        <v>1399</v>
      </c>
      <c r="S185" s="22" t="n">
        <v>497220</v>
      </c>
      <c r="T185" s="22" t="n">
        <v>23.8078278287833</v>
      </c>
      <c r="U185" s="22" t="n">
        <v>83.700729551517</v>
      </c>
      <c r="V185" s="22" t="s">
        <v>129</v>
      </c>
      <c r="W185" s="22" t="n">
        <v>2023</v>
      </c>
      <c r="X185" s="22" t="n">
        <v>45136</v>
      </c>
      <c r="Y185" s="22" t="n">
        <v>975</v>
      </c>
      <c r="Z185" s="22" t="n">
        <v>975</v>
      </c>
      <c r="AA185" s="22" t="s">
        <v>23</v>
      </c>
      <c r="AB185" s="22" t="s">
        <v>1313</v>
      </c>
      <c r="AC185" s="22" t="s">
        <v>1314</v>
      </c>
      <c r="AD185" s="22" t="s">
        <v>1315</v>
      </c>
      <c r="AE185" s="22" t="s">
        <v>1400</v>
      </c>
      <c r="AF185" s="22" t="s">
        <v>1401</v>
      </c>
      <c r="AG185" s="22" t="s">
        <v>1402</v>
      </c>
      <c r="AH185" s="22" t="s">
        <v>136</v>
      </c>
      <c r="AI185" s="22" t="s">
        <v>137</v>
      </c>
      <c r="AJ185" s="22" t="n">
        <v>12</v>
      </c>
      <c r="AK185" s="22" t="n">
        <v>1</v>
      </c>
      <c r="AL185" s="22" t="n">
        <v>0</v>
      </c>
      <c r="AM185" s="22" t="n">
        <f aca="false">AL185+AK185+AJ185</f>
        <v>13</v>
      </c>
      <c r="AN185" s="22" t="n">
        <v>3</v>
      </c>
      <c r="AO185" s="22" t="n">
        <v>3</v>
      </c>
      <c r="AP185" s="22" t="n">
        <f aca="false">AN185+AO185</f>
        <v>6</v>
      </c>
      <c r="AQ185" s="22" t="n">
        <v>0</v>
      </c>
      <c r="AR185" s="22" t="n">
        <v>0</v>
      </c>
      <c r="AS185" s="22" t="n">
        <v>1</v>
      </c>
      <c r="AT185" s="22" t="n">
        <v>0</v>
      </c>
      <c r="AU185" s="22" t="n">
        <v>1</v>
      </c>
      <c r="AV185" s="22" t="n">
        <v>0</v>
      </c>
      <c r="AW185" s="22" t="n">
        <v>0</v>
      </c>
      <c r="AX185" s="22" t="n">
        <v>0</v>
      </c>
      <c r="AY185" s="22" t="s">
        <v>138</v>
      </c>
      <c r="AZ185" s="22" t="s">
        <v>139</v>
      </c>
    </row>
    <row r="186" customFormat="false" ht="14.25" hidden="false" customHeight="false" outlineLevel="0" collapsed="false">
      <c r="B186" s="22" t="n">
        <f aca="false">B185+1</f>
        <v>37</v>
      </c>
      <c r="C186" s="22" t="s">
        <v>1403</v>
      </c>
      <c r="D186" s="22" t="s">
        <v>16</v>
      </c>
      <c r="E186" s="22" t="s">
        <v>21</v>
      </c>
      <c r="F186" s="22" t="n">
        <v>50001381</v>
      </c>
      <c r="G186" s="22" t="s">
        <v>120</v>
      </c>
      <c r="H186" s="22" t="s">
        <v>121</v>
      </c>
      <c r="I186" s="22" t="s">
        <v>122</v>
      </c>
      <c r="J186" s="22" t="s">
        <v>1364</v>
      </c>
      <c r="K186" s="22" t="s">
        <v>1327</v>
      </c>
      <c r="L186" s="22" t="s">
        <v>36</v>
      </c>
      <c r="M186" s="22" t="s">
        <v>124</v>
      </c>
      <c r="N186" s="22" t="s">
        <v>1404</v>
      </c>
      <c r="O186" s="22" t="n">
        <v>6977</v>
      </c>
      <c r="P186" s="22" t="s">
        <v>1405</v>
      </c>
      <c r="Q186" s="22" t="s">
        <v>127</v>
      </c>
      <c r="R186" s="22" t="s">
        <v>1406</v>
      </c>
      <c r="S186" s="22" t="n">
        <v>495557</v>
      </c>
      <c r="T186" s="22" t="n">
        <v>21.728301</v>
      </c>
      <c r="U186" s="22" t="n">
        <v>82.584122</v>
      </c>
      <c r="V186" s="22" t="s">
        <v>129</v>
      </c>
      <c r="W186" s="22" t="n">
        <v>2018</v>
      </c>
      <c r="X186" s="22" t="n">
        <v>43405</v>
      </c>
      <c r="Y186" s="22" t="n">
        <v>1460</v>
      </c>
      <c r="Z186" s="22" t="n">
        <v>1460</v>
      </c>
      <c r="AA186" s="22" t="s">
        <v>23</v>
      </c>
      <c r="AB186" s="22" t="s">
        <v>1313</v>
      </c>
      <c r="AC186" s="22" t="s">
        <v>1314</v>
      </c>
      <c r="AD186" s="22" t="s">
        <v>1315</v>
      </c>
      <c r="AE186" s="22" t="s">
        <v>1407</v>
      </c>
      <c r="AF186" s="22" t="s">
        <v>1408</v>
      </c>
      <c r="AG186" s="22" t="s">
        <v>1409</v>
      </c>
      <c r="AH186" s="22" t="s">
        <v>136</v>
      </c>
      <c r="AI186" s="22" t="s">
        <v>137</v>
      </c>
      <c r="AJ186" s="22" t="n">
        <v>12</v>
      </c>
      <c r="AK186" s="22" t="n">
        <v>2</v>
      </c>
      <c r="AL186" s="22" t="n">
        <v>2</v>
      </c>
      <c r="AM186" s="22" t="n">
        <f aca="false">AL186+AK186+AJ186</f>
        <v>16</v>
      </c>
      <c r="AN186" s="22" t="n">
        <v>15</v>
      </c>
      <c r="AO186" s="22" t="n">
        <v>6</v>
      </c>
      <c r="AP186" s="22" t="n">
        <f aca="false">AN186+AO186</f>
        <v>21</v>
      </c>
      <c r="AQ186" s="22" t="n">
        <v>0</v>
      </c>
      <c r="AR186" s="22" t="n">
        <v>0</v>
      </c>
      <c r="AS186" s="22" t="n">
        <v>1</v>
      </c>
      <c r="AT186" s="22" t="n">
        <v>0</v>
      </c>
      <c r="AU186" s="22" t="n">
        <v>1</v>
      </c>
      <c r="AV186" s="22" t="n">
        <v>0</v>
      </c>
      <c r="AW186" s="22" t="n">
        <v>0</v>
      </c>
      <c r="AX186" s="22" t="n">
        <v>0</v>
      </c>
      <c r="AY186" s="22" t="s">
        <v>138</v>
      </c>
      <c r="AZ186" s="22" t="s">
        <v>139</v>
      </c>
    </row>
    <row r="187" customFormat="false" ht="14.25" hidden="false" customHeight="false" outlineLevel="0" collapsed="false">
      <c r="B187" s="22" t="n">
        <f aca="false">B186+1</f>
        <v>38</v>
      </c>
      <c r="C187" s="22" t="s">
        <v>1410</v>
      </c>
      <c r="D187" s="22" t="s">
        <v>16</v>
      </c>
      <c r="E187" s="22" t="s">
        <v>21</v>
      </c>
      <c r="F187" s="22" t="n">
        <v>50001502</v>
      </c>
      <c r="G187" s="22" t="s">
        <v>120</v>
      </c>
      <c r="H187" s="22" t="s">
        <v>121</v>
      </c>
      <c r="I187" s="22" t="s">
        <v>122</v>
      </c>
      <c r="J187" s="22" t="s">
        <v>1410</v>
      </c>
      <c r="K187" s="22" t="s">
        <v>1410</v>
      </c>
      <c r="L187" s="22" t="s">
        <v>36</v>
      </c>
      <c r="M187" s="22" t="s">
        <v>124</v>
      </c>
      <c r="N187" s="22" t="s">
        <v>1411</v>
      </c>
      <c r="O187" s="22" t="n">
        <v>7201</v>
      </c>
      <c r="P187" s="22" t="s">
        <v>1412</v>
      </c>
      <c r="Q187" s="22" t="s">
        <v>127</v>
      </c>
      <c r="R187" s="22" t="s">
        <v>1413</v>
      </c>
      <c r="S187" s="22" t="n">
        <v>497229</v>
      </c>
      <c r="T187" s="22" t="n">
        <v>23.221486</v>
      </c>
      <c r="U187" s="22" t="n">
        <v>82.84702</v>
      </c>
      <c r="V187" s="22" t="s">
        <v>129</v>
      </c>
      <c r="W187" s="22" t="n">
        <v>2019</v>
      </c>
      <c r="X187" s="22" t="n">
        <v>43556</v>
      </c>
      <c r="Y187" s="22" t="n">
        <v>1400</v>
      </c>
      <c r="Z187" s="22" t="n">
        <v>1400</v>
      </c>
      <c r="AA187" s="22" t="s">
        <v>23</v>
      </c>
      <c r="AB187" s="22" t="s">
        <v>1313</v>
      </c>
      <c r="AC187" s="22" t="s">
        <v>1314</v>
      </c>
      <c r="AD187" s="22" t="s">
        <v>1315</v>
      </c>
      <c r="AE187" s="22" t="s">
        <v>1414</v>
      </c>
      <c r="AF187" s="22" t="s">
        <v>1415</v>
      </c>
      <c r="AG187" s="22" t="s">
        <v>1416</v>
      </c>
      <c r="AH187" s="22" t="s">
        <v>136</v>
      </c>
      <c r="AI187" s="22" t="s">
        <v>137</v>
      </c>
      <c r="AJ187" s="22" t="n">
        <v>12</v>
      </c>
      <c r="AK187" s="22" t="n">
        <v>1</v>
      </c>
      <c r="AL187" s="22" t="n">
        <v>2</v>
      </c>
      <c r="AM187" s="22" t="n">
        <f aca="false">AL187+AK187+AJ187</f>
        <v>15</v>
      </c>
      <c r="AN187" s="22" t="n">
        <v>11</v>
      </c>
      <c r="AO187" s="22" t="n">
        <v>6</v>
      </c>
      <c r="AP187" s="22" t="n">
        <f aca="false">AN187+AO187</f>
        <v>17</v>
      </c>
      <c r="AQ187" s="22" t="n">
        <v>0</v>
      </c>
      <c r="AR187" s="22" t="n">
        <v>0</v>
      </c>
      <c r="AS187" s="22" t="n">
        <v>1</v>
      </c>
      <c r="AT187" s="22" t="n">
        <v>0</v>
      </c>
      <c r="AU187" s="22" t="n">
        <v>1</v>
      </c>
      <c r="AV187" s="22" t="n">
        <v>0</v>
      </c>
      <c r="AW187" s="22" t="n">
        <v>0</v>
      </c>
      <c r="AX187" s="22" t="n">
        <v>0</v>
      </c>
      <c r="AY187" s="22" t="s">
        <v>138</v>
      </c>
      <c r="AZ187" s="22" t="s">
        <v>139</v>
      </c>
    </row>
    <row r="188" customFormat="false" ht="14.25" hidden="false" customHeight="false" outlineLevel="0" collapsed="false">
      <c r="B188" s="22" t="n">
        <f aca="false">B187+1</f>
        <v>39</v>
      </c>
      <c r="C188" s="22" t="s">
        <v>1417</v>
      </c>
      <c r="D188" s="22" t="s">
        <v>16</v>
      </c>
      <c r="E188" s="22" t="s">
        <v>21</v>
      </c>
      <c r="F188" s="22" t="n">
        <v>50001869</v>
      </c>
      <c r="G188" s="22" t="s">
        <v>120</v>
      </c>
      <c r="H188" s="22" t="s">
        <v>141</v>
      </c>
      <c r="I188" s="22" t="s">
        <v>122</v>
      </c>
      <c r="J188" s="22" t="s">
        <v>1320</v>
      </c>
      <c r="K188" s="22" t="s">
        <v>1319</v>
      </c>
      <c r="L188" s="22" t="s">
        <v>36</v>
      </c>
      <c r="M188" s="22" t="s">
        <v>124</v>
      </c>
      <c r="N188" s="22" t="s">
        <v>1418</v>
      </c>
      <c r="O188" s="22" t="n">
        <v>8249</v>
      </c>
      <c r="P188" s="22" t="s">
        <v>1419</v>
      </c>
      <c r="Q188" s="22" t="s">
        <v>146</v>
      </c>
      <c r="R188" s="22" t="s">
        <v>1420</v>
      </c>
      <c r="S188" s="22" t="n">
        <v>495330</v>
      </c>
      <c r="T188" s="22" t="n">
        <v>22.129393</v>
      </c>
      <c r="U188" s="22" t="n">
        <v>81.870523</v>
      </c>
      <c r="V188" s="22" t="s">
        <v>129</v>
      </c>
      <c r="W188" s="22" t="n">
        <v>2020</v>
      </c>
      <c r="X188" s="22" t="n">
        <v>43831</v>
      </c>
      <c r="Y188" s="22" t="n">
        <v>600</v>
      </c>
      <c r="Z188" s="22" t="n">
        <v>600</v>
      </c>
      <c r="AA188" s="22" t="s">
        <v>23</v>
      </c>
      <c r="AB188" s="22" t="s">
        <v>1313</v>
      </c>
      <c r="AC188" s="22" t="s">
        <v>1314</v>
      </c>
      <c r="AD188" s="22" t="s">
        <v>1315</v>
      </c>
      <c r="AE188" s="22" t="s">
        <v>1421</v>
      </c>
      <c r="AF188" s="22" t="s">
        <v>1422</v>
      </c>
      <c r="AG188" s="22" t="s">
        <v>1423</v>
      </c>
      <c r="AH188" s="22" t="s">
        <v>136</v>
      </c>
      <c r="AI188" s="22" t="s">
        <v>137</v>
      </c>
      <c r="AJ188" s="22" t="n">
        <v>6</v>
      </c>
      <c r="AK188" s="22" t="n">
        <v>1</v>
      </c>
      <c r="AL188" s="22" t="n">
        <v>0</v>
      </c>
      <c r="AM188" s="22" t="n">
        <f aca="false">AL188+AK188+AJ188</f>
        <v>7</v>
      </c>
      <c r="AN188" s="22" t="n">
        <v>5</v>
      </c>
      <c r="AO188" s="22" t="n">
        <v>3</v>
      </c>
      <c r="AP188" s="22" t="n">
        <f aca="false">AN188+AO188</f>
        <v>8</v>
      </c>
      <c r="AQ188" s="22" t="n">
        <v>0</v>
      </c>
      <c r="AR188" s="22" t="n">
        <v>0</v>
      </c>
      <c r="AS188" s="22" t="n">
        <v>1</v>
      </c>
      <c r="AT188" s="22" t="n">
        <v>0</v>
      </c>
      <c r="AU188" s="22" t="n">
        <v>1</v>
      </c>
      <c r="AV188" s="22" t="n">
        <v>0</v>
      </c>
      <c r="AW188" s="22" t="n">
        <v>0</v>
      </c>
      <c r="AX188" s="22" t="n">
        <v>0</v>
      </c>
      <c r="AY188" s="22" t="s">
        <v>138</v>
      </c>
      <c r="AZ188" s="22" t="s">
        <v>139</v>
      </c>
    </row>
    <row r="189" customFormat="false" ht="14.25" hidden="false" customHeight="false" outlineLevel="0" collapsed="false">
      <c r="B189" s="22" t="n">
        <f aca="false">B188+1</f>
        <v>40</v>
      </c>
      <c r="C189" s="22" t="s">
        <v>1424</v>
      </c>
      <c r="D189" s="22" t="s">
        <v>16</v>
      </c>
      <c r="E189" s="22" t="s">
        <v>21</v>
      </c>
      <c r="F189" s="22" t="n">
        <v>50001451</v>
      </c>
      <c r="G189" s="22" t="s">
        <v>120</v>
      </c>
      <c r="H189" s="22" t="s">
        <v>141</v>
      </c>
      <c r="I189" s="22" t="s">
        <v>122</v>
      </c>
      <c r="J189" s="22" t="s">
        <v>1424</v>
      </c>
      <c r="K189" s="22" t="s">
        <v>1424</v>
      </c>
      <c r="L189" s="22" t="s">
        <v>36</v>
      </c>
      <c r="M189" s="22" t="s">
        <v>124</v>
      </c>
      <c r="N189" s="22" t="s">
        <v>1425</v>
      </c>
      <c r="O189" s="22" t="s">
        <v>871</v>
      </c>
      <c r="P189" s="22" t="s">
        <v>871</v>
      </c>
      <c r="Q189" s="22" t="s">
        <v>127</v>
      </c>
      <c r="R189" s="22" t="s">
        <v>1426</v>
      </c>
      <c r="S189" s="22" t="n">
        <v>493332</v>
      </c>
      <c r="T189" s="22" t="s">
        <v>1427</v>
      </c>
      <c r="U189" s="22" t="n">
        <v>82.1632887722681</v>
      </c>
      <c r="V189" s="22" t="s">
        <v>129</v>
      </c>
      <c r="W189" s="22" t="n">
        <v>2025</v>
      </c>
      <c r="X189" s="22" t="s">
        <v>1428</v>
      </c>
      <c r="Y189" s="22" t="n">
        <v>900</v>
      </c>
      <c r="Z189" s="22" t="n">
        <v>900</v>
      </c>
      <c r="AA189" s="22" t="s">
        <v>23</v>
      </c>
      <c r="AB189" s="22" t="s">
        <v>1313</v>
      </c>
      <c r="AC189" s="22" t="s">
        <v>1314</v>
      </c>
      <c r="AD189" s="22" t="s">
        <v>1315</v>
      </c>
      <c r="AE189" s="22" t="s">
        <v>1429</v>
      </c>
      <c r="AF189" s="22" t="s">
        <v>1430</v>
      </c>
      <c r="AG189" s="22" t="s">
        <v>1431</v>
      </c>
      <c r="AH189" s="22" t="s">
        <v>136</v>
      </c>
      <c r="AI189" s="22" t="s">
        <v>137</v>
      </c>
      <c r="AJ189" s="22" t="n">
        <v>6</v>
      </c>
      <c r="AK189" s="22" t="n">
        <v>1</v>
      </c>
      <c r="AL189" s="22" t="n">
        <v>0</v>
      </c>
      <c r="AM189" s="22" t="n">
        <f aca="false">AL189+AK189+AJ189</f>
        <v>7</v>
      </c>
      <c r="AN189" s="22" t="n">
        <v>5</v>
      </c>
      <c r="AO189" s="22" t="n">
        <v>3</v>
      </c>
      <c r="AP189" s="22" t="n">
        <f aca="false">AN189+AO189</f>
        <v>8</v>
      </c>
      <c r="AQ189" s="22" t="n">
        <v>0</v>
      </c>
      <c r="AR189" s="22" t="n">
        <v>0</v>
      </c>
      <c r="AS189" s="22" t="n">
        <v>1</v>
      </c>
      <c r="AT189" s="22" t="n">
        <v>0</v>
      </c>
      <c r="AU189" s="22" t="n">
        <v>1</v>
      </c>
      <c r="AV189" s="22" t="n">
        <v>0</v>
      </c>
      <c r="AW189" s="22" t="n">
        <v>0</v>
      </c>
      <c r="AX189" s="22" t="n">
        <v>0</v>
      </c>
      <c r="AY189" s="22" t="s">
        <v>138</v>
      </c>
      <c r="AZ189" s="22" t="s">
        <v>139</v>
      </c>
    </row>
    <row r="190" customFormat="false" ht="14.25" hidden="false" customHeight="false" outlineLevel="0" collapsed="false">
      <c r="B190" s="22" t="n">
        <f aca="false">B189+1</f>
        <v>41</v>
      </c>
      <c r="C190" s="22" t="s">
        <v>1432</v>
      </c>
      <c r="D190" s="22" t="s">
        <v>16</v>
      </c>
      <c r="E190" s="22" t="s">
        <v>21</v>
      </c>
      <c r="F190" s="22" t="n">
        <v>50000823</v>
      </c>
      <c r="G190" s="22" t="s">
        <v>120</v>
      </c>
      <c r="H190" s="22" t="s">
        <v>121</v>
      </c>
      <c r="I190" s="22" t="s">
        <v>122</v>
      </c>
      <c r="J190" s="22" t="s">
        <v>1432</v>
      </c>
      <c r="K190" s="22" t="s">
        <v>1433</v>
      </c>
      <c r="L190" s="22" t="s">
        <v>36</v>
      </c>
      <c r="M190" s="22" t="s">
        <v>124</v>
      </c>
      <c r="N190" s="22" t="s">
        <v>1434</v>
      </c>
      <c r="O190" s="22" t="n">
        <v>1704</v>
      </c>
      <c r="P190" s="22" t="s">
        <v>1435</v>
      </c>
      <c r="Q190" s="22" t="s">
        <v>127</v>
      </c>
      <c r="R190" s="22" t="s">
        <v>1436</v>
      </c>
      <c r="S190" s="22" t="n">
        <v>491995</v>
      </c>
      <c r="T190" s="22" t="n">
        <v>22.002013</v>
      </c>
      <c r="U190" s="22" t="n">
        <v>81.235865</v>
      </c>
      <c r="V190" s="22" t="s">
        <v>129</v>
      </c>
      <c r="W190" s="22" t="n">
        <v>2017</v>
      </c>
      <c r="X190" s="22" t="n">
        <v>42736</v>
      </c>
      <c r="Y190" s="22" t="n">
        <v>1500</v>
      </c>
      <c r="Z190" s="22" t="n">
        <v>1500</v>
      </c>
      <c r="AA190" s="22" t="s">
        <v>23</v>
      </c>
      <c r="AB190" s="22" t="s">
        <v>1313</v>
      </c>
      <c r="AC190" s="22" t="s">
        <v>1314</v>
      </c>
      <c r="AD190" s="22" t="s">
        <v>1315</v>
      </c>
      <c r="AE190" s="22" t="s">
        <v>1437</v>
      </c>
      <c r="AF190" s="22" t="s">
        <v>1438</v>
      </c>
      <c r="AG190" s="22" t="s">
        <v>1439</v>
      </c>
      <c r="AH190" s="22" t="s">
        <v>136</v>
      </c>
      <c r="AI190" s="22" t="s">
        <v>137</v>
      </c>
      <c r="AJ190" s="22" t="n">
        <v>14</v>
      </c>
      <c r="AK190" s="22" t="n">
        <v>1</v>
      </c>
      <c r="AL190" s="22" t="n">
        <v>2</v>
      </c>
      <c r="AM190" s="22" t="n">
        <f aca="false">AL190+AK190+AJ190</f>
        <v>17</v>
      </c>
      <c r="AN190" s="22" t="n">
        <v>23</v>
      </c>
      <c r="AO190" s="22" t="n">
        <v>6</v>
      </c>
      <c r="AP190" s="22" t="n">
        <f aca="false">AN190+AO190</f>
        <v>29</v>
      </c>
      <c r="AQ190" s="22" t="n">
        <v>0</v>
      </c>
      <c r="AR190" s="22" t="n">
        <v>0</v>
      </c>
      <c r="AS190" s="22" t="n">
        <v>1</v>
      </c>
      <c r="AT190" s="22" t="n">
        <v>0</v>
      </c>
      <c r="AU190" s="22" t="n">
        <v>1</v>
      </c>
      <c r="AV190" s="22" t="n">
        <v>0</v>
      </c>
      <c r="AW190" s="22" t="n">
        <v>0</v>
      </c>
      <c r="AX190" s="22" t="n">
        <v>0</v>
      </c>
      <c r="AY190" s="22" t="s">
        <v>160</v>
      </c>
      <c r="AZ190" s="22" t="s">
        <v>1256</v>
      </c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B1:BA190"/>
  <hyperlinks>
    <hyperlink ref="AG55" r:id="rId1" display="paidi.santharao@bajajfinserv.in"/>
    <hyperlink ref="AG64" r:id="rId2" display="voona.krishna@bajajfinserv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2026-04-15T13:08:12Z</dcterms:created>
  <dc:creator>Prasanna Ugalmugale</dc:creator>
  <dc:description/>
  <dc:language>en-IN</dc:language>
  <cp:lastModifiedBy/>
  <dcterms:modified xsi:type="dcterms:W3CDTF">2026-04-30T11:59:13Z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